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KADEMIK\1.MASTER DATA AKADEMIK\"/>
    </mc:Choice>
  </mc:AlternateContent>
  <xr:revisionPtr revIDLastSave="0" documentId="13_ncr:1_{7C83F68A-310C-46E2-8A82-3F6B9C6C47C5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PERKEMBANGAN AKADEMIK TOTAL" sheetId="10" r:id="rId1"/>
    <sheet name="TM" sheetId="7" r:id="rId2"/>
    <sheet name="TL" sheetId="8" r:id="rId3"/>
    <sheet name="AGRO" sheetId="9" r:id="rId4"/>
    <sheet name="TOTAL LULUSAN" sheetId="5" r:id="rId5"/>
    <sheet name="Grafik TM" sheetId="12" r:id="rId6"/>
    <sheet name="Grafik TL" sheetId="13" r:id="rId7"/>
    <sheet name="Grafik Agro" sheetId="11" r:id="rId8"/>
  </sheets>
  <definedNames>
    <definedName name="_xlcn.WorksheetConnection_GrafikAgroA3B131" hidden="1">'Grafik Agro'!$A$3:$B$13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Grafik Agro!$A$3:$B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18" i="10" l="1"/>
  <c r="AG17" i="10"/>
  <c r="AG18" i="8"/>
  <c r="AJ18" i="7"/>
  <c r="AG18" i="7"/>
  <c r="AI18" i="9"/>
  <c r="AH18" i="9"/>
  <c r="AG18" i="9"/>
  <c r="AF14" i="10"/>
  <c r="AJ14" i="10" s="1"/>
  <c r="AF13" i="10"/>
  <c r="AJ13" i="10" s="1"/>
  <c r="AF12" i="10"/>
  <c r="AF18" i="9"/>
  <c r="AJ13" i="8"/>
  <c r="AJ12" i="8"/>
  <c r="AF18" i="8"/>
  <c r="AF18" i="7"/>
  <c r="AF18" i="10" l="1"/>
  <c r="I8" i="5"/>
  <c r="J7" i="5"/>
  <c r="J6" i="5"/>
  <c r="J5" i="5"/>
  <c r="AE16" i="10"/>
  <c r="AE15" i="10"/>
  <c r="AE14" i="10"/>
  <c r="AE13" i="10"/>
  <c r="AE12" i="10"/>
  <c r="AD12" i="10"/>
  <c r="AE18" i="9"/>
  <c r="AE18" i="8"/>
  <c r="AE18" i="7"/>
  <c r="AE18" i="10" l="1"/>
  <c r="AD13" i="10"/>
  <c r="AD14" i="10"/>
  <c r="AD15" i="10"/>
  <c r="AD16" i="10"/>
  <c r="AC18" i="10"/>
  <c r="H8" i="5"/>
  <c r="AD18" i="9"/>
  <c r="AC18" i="9"/>
  <c r="AD18" i="8"/>
  <c r="AC18" i="8"/>
  <c r="AD18" i="7"/>
  <c r="AC18" i="7"/>
  <c r="AB18" i="8"/>
  <c r="AD18" i="10" l="1"/>
  <c r="AB18" i="9"/>
  <c r="AB18" i="7"/>
  <c r="AB15" i="10"/>
  <c r="AB14" i="10"/>
  <c r="AB13" i="10"/>
  <c r="AB12" i="10"/>
  <c r="AJ12" i="7"/>
  <c r="AJ11" i="7"/>
  <c r="AJ10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AA18" i="8"/>
  <c r="Z18" i="8"/>
  <c r="Y18" i="8"/>
  <c r="X18" i="8"/>
  <c r="W18" i="8"/>
  <c r="V18" i="8"/>
  <c r="U18" i="8"/>
  <c r="T18" i="8"/>
  <c r="S18" i="8"/>
  <c r="R18" i="8"/>
  <c r="P18" i="8"/>
  <c r="O18" i="8"/>
  <c r="N18" i="8"/>
  <c r="M18" i="8"/>
  <c r="L18" i="8"/>
  <c r="K18" i="8"/>
  <c r="J18" i="8"/>
  <c r="I18" i="8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M18" i="9"/>
  <c r="L18" i="9"/>
  <c r="K18" i="9"/>
  <c r="J18" i="9"/>
  <c r="G18" i="9"/>
  <c r="I18" i="9"/>
  <c r="H18" i="10"/>
  <c r="AA14" i="10"/>
  <c r="Y14" i="10"/>
  <c r="AA13" i="10"/>
  <c r="AA12" i="10"/>
  <c r="Y13" i="10"/>
  <c r="X13" i="10"/>
  <c r="V13" i="10"/>
  <c r="Z12" i="10"/>
  <c r="AJ12" i="10" s="1"/>
  <c r="Y12" i="10"/>
  <c r="X12" i="10"/>
  <c r="V12" i="10"/>
  <c r="U12" i="10"/>
  <c r="S12" i="10"/>
  <c r="Z11" i="10"/>
  <c r="Y11" i="10"/>
  <c r="X11" i="10"/>
  <c r="W11" i="10"/>
  <c r="V11" i="10"/>
  <c r="U11" i="10"/>
  <c r="S11" i="10"/>
  <c r="R11" i="10"/>
  <c r="P11" i="10"/>
  <c r="T10" i="10"/>
  <c r="T18" i="10" s="1"/>
  <c r="S10" i="10"/>
  <c r="R10" i="10"/>
  <c r="Q10" i="10"/>
  <c r="P10" i="10"/>
  <c r="O10" i="10"/>
  <c r="M10" i="10"/>
  <c r="S9" i="10"/>
  <c r="R9" i="10"/>
  <c r="Q9" i="10"/>
  <c r="P9" i="10"/>
  <c r="O9" i="10"/>
  <c r="N9" i="10"/>
  <c r="M9" i="10"/>
  <c r="L9" i="10"/>
  <c r="J9" i="10"/>
  <c r="R8" i="10"/>
  <c r="Q8" i="10"/>
  <c r="P8" i="10"/>
  <c r="O8" i="10"/>
  <c r="N8" i="10"/>
  <c r="M8" i="10"/>
  <c r="L8" i="10"/>
  <c r="J8" i="10"/>
  <c r="I8" i="10"/>
  <c r="G8" i="10"/>
  <c r="N7" i="10"/>
  <c r="M7" i="10"/>
  <c r="L7" i="10"/>
  <c r="K7" i="10"/>
  <c r="J7" i="10"/>
  <c r="I7" i="10"/>
  <c r="G7" i="10"/>
  <c r="F7" i="10"/>
  <c r="E7" i="10"/>
  <c r="K6" i="10"/>
  <c r="J6" i="10"/>
  <c r="I6" i="10"/>
  <c r="G6" i="10"/>
  <c r="F6" i="10"/>
  <c r="E6" i="10"/>
  <c r="D6" i="10"/>
  <c r="C6" i="10"/>
  <c r="C18" i="10" s="1"/>
  <c r="B13" i="11"/>
  <c r="B12" i="11"/>
  <c r="B11" i="11"/>
  <c r="B10" i="11"/>
  <c r="B9" i="11"/>
  <c r="B8" i="11"/>
  <c r="B7" i="11"/>
  <c r="B6" i="11"/>
  <c r="B5" i="11"/>
  <c r="B4" i="11"/>
  <c r="B13" i="13"/>
  <c r="B12" i="13"/>
  <c r="B11" i="13"/>
  <c r="B10" i="13"/>
  <c r="B9" i="13"/>
  <c r="B8" i="13"/>
  <c r="B7" i="13"/>
  <c r="B6" i="13"/>
  <c r="B5" i="13"/>
  <c r="B4" i="13"/>
  <c r="B13" i="12"/>
  <c r="B12" i="12"/>
  <c r="B11" i="12"/>
  <c r="B10" i="12"/>
  <c r="B9" i="12"/>
  <c r="B8" i="12"/>
  <c r="B7" i="12"/>
  <c r="B6" i="12"/>
  <c r="B5" i="12"/>
  <c r="B4" i="12"/>
  <c r="AA15" i="10"/>
  <c r="X14" i="10"/>
  <c r="U13" i="10"/>
  <c r="R12" i="10"/>
  <c r="O11" i="10"/>
  <c r="L10" i="10"/>
  <c r="I9" i="10"/>
  <c r="F8" i="10"/>
  <c r="D7" i="10"/>
  <c r="B6" i="10"/>
  <c r="B18" i="10" s="1"/>
  <c r="W18" i="10" l="1"/>
  <c r="AJ11" i="10"/>
  <c r="AB18" i="10"/>
  <c r="K18" i="10"/>
  <c r="E18" i="10"/>
  <c r="J18" i="10"/>
  <c r="L18" i="10"/>
  <c r="M18" i="10"/>
  <c r="O18" i="10"/>
  <c r="AJ10" i="10"/>
  <c r="V18" i="10"/>
  <c r="X18" i="10"/>
  <c r="F18" i="10"/>
  <c r="S18" i="10"/>
  <c r="Y18" i="10"/>
  <c r="G18" i="10"/>
  <c r="N18" i="10"/>
  <c r="P18" i="10"/>
  <c r="Z18" i="10"/>
  <c r="D18" i="10"/>
  <c r="I18" i="10"/>
  <c r="Q18" i="10"/>
  <c r="U18" i="10"/>
  <c r="AA18" i="10"/>
  <c r="R18" i="10"/>
  <c r="G8" i="5"/>
  <c r="F8" i="5"/>
  <c r="J8" i="5" l="1"/>
  <c r="E8" i="5" l="1"/>
  <c r="AJ9" i="10" l="1"/>
  <c r="AJ8" i="10"/>
  <c r="AJ7" i="10"/>
  <c r="AJ18" i="10" l="1"/>
  <c r="N18" i="9" l="1"/>
  <c r="H18" i="9"/>
  <c r="F18" i="9"/>
  <c r="E18" i="9"/>
  <c r="D18" i="9"/>
  <c r="C18" i="9"/>
  <c r="B18" i="9"/>
  <c r="AJ8" i="9"/>
  <c r="AJ7" i="9"/>
  <c r="Q18" i="8"/>
  <c r="H18" i="8"/>
  <c r="G18" i="8"/>
  <c r="F18" i="8"/>
  <c r="E18" i="8"/>
  <c r="D18" i="8"/>
  <c r="C18" i="8"/>
  <c r="B18" i="8"/>
  <c r="AJ8" i="8"/>
  <c r="AJ7" i="8"/>
  <c r="AJ6" i="8"/>
  <c r="H18" i="7"/>
  <c r="G18" i="7"/>
  <c r="F18" i="7"/>
  <c r="E18" i="7"/>
  <c r="D18" i="7"/>
  <c r="C18" i="7"/>
  <c r="B18" i="7"/>
  <c r="AJ9" i="7"/>
  <c r="AJ8" i="7"/>
  <c r="AJ7" i="7"/>
  <c r="AJ18" i="8" l="1"/>
  <c r="AJ18" i="9"/>
  <c r="C8" i="5"/>
  <c r="B8" i="5"/>
  <c r="D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B6B46-DB00-47BB-8022-B2BFFED2B1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6B89C87-438D-4977-939D-AB6E6A64F5E9}" name="WorksheetConnection_Grafik Agro!$A$3:$B$1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GrafikAgroA3B131"/>
        </x15:connection>
      </ext>
    </extLst>
  </connection>
</connections>
</file>

<file path=xl/sharedStrings.xml><?xml version="1.0" encoding="utf-8"?>
<sst xmlns="http://schemas.openxmlformats.org/spreadsheetml/2006/main" count="227" uniqueCount="55">
  <si>
    <t>PRODI</t>
  </si>
  <si>
    <t>2018_1</t>
  </si>
  <si>
    <t>2018_2</t>
  </si>
  <si>
    <t>2019_1</t>
  </si>
  <si>
    <t>LULUS</t>
  </si>
  <si>
    <t>2017_1</t>
  </si>
  <si>
    <t>2017_2</t>
  </si>
  <si>
    <t>PERIODE</t>
  </si>
  <si>
    <t>TOTAL</t>
  </si>
  <si>
    <t>2016_1</t>
  </si>
  <si>
    <t>2016_2</t>
  </si>
  <si>
    <t>2015_2</t>
  </si>
  <si>
    <t>2015_1</t>
  </si>
  <si>
    <t>2014_1</t>
  </si>
  <si>
    <t>2014_2</t>
  </si>
  <si>
    <t>JUMLAH LULUSAN</t>
  </si>
  <si>
    <t>Keterangan :</t>
  </si>
  <si>
    <t>Mahasiswa LULUS</t>
  </si>
  <si>
    <t>Mahasiswa AKTIF</t>
  </si>
  <si>
    <t>TAHUN MASUK</t>
  </si>
  <si>
    <t>2019_2</t>
  </si>
  <si>
    <t>2020_1</t>
  </si>
  <si>
    <t xml:space="preserve">PERIODE </t>
  </si>
  <si>
    <t>JUMLAH</t>
  </si>
  <si>
    <t>PERKEMBANGAN MAHASISWA AKTIF PROGRAM STUDI TEKNOLOGI MANUFAKTUR FAKULTAS VOKASI PER ANGKATAN PER PERIODE</t>
  </si>
  <si>
    <t>PERKEMBANGAN MAHASISWA AKTIF PROGRAM STUDI TEKNOLOGI LISTRIK FAKULTAS VOKASI PER ANGKATAN PER PERIODE</t>
  </si>
  <si>
    <t>PERKEMBANGAN MAHASISWA AKTIF PROGRAM STUDI AGROINDUSTRI FAKULTAS VOKASI PER ANGKATAN PER PERIODE</t>
  </si>
  <si>
    <t>2020_2</t>
  </si>
  <si>
    <t>Mahasiswa BARU</t>
  </si>
  <si>
    <t>PERKEMBANGAN MAHASISWA AKTIF FAKULTAS VOKASI PER PERIODE</t>
  </si>
  <si>
    <t>TEKNOLOGI MANUFAKTUR</t>
  </si>
  <si>
    <t>TEKNOLOGI LISTRIK</t>
  </si>
  <si>
    <t>AGROINDUSTRI</t>
  </si>
  <si>
    <t>TOTAL LULUSAN FAKULTAS VOKASI</t>
  </si>
  <si>
    <t>2021_1</t>
  </si>
  <si>
    <t>2021_2</t>
  </si>
  <si>
    <t>2022_1</t>
  </si>
  <si>
    <t>2022_2</t>
  </si>
  <si>
    <t>2023_1</t>
  </si>
  <si>
    <t>Jumlah Lulusan</t>
  </si>
  <si>
    <t>Tahun Masuk</t>
  </si>
  <si>
    <t>GRAFIK AGROINDUSTRI</t>
  </si>
  <si>
    <t>GRAFIK TEKNOLOGI LISTRIK</t>
  </si>
  <si>
    <t>GRAFIK TEKNOLOGI MANUFAKTUR</t>
  </si>
  <si>
    <t>TOTAL JUMLAH LULUSAN</t>
  </si>
  <si>
    <t>PRODI TM</t>
  </si>
  <si>
    <t>PRODI TL</t>
  </si>
  <si>
    <t>PRODI AGROINDUSTRI</t>
  </si>
  <si>
    <t>Jumlah MABA</t>
  </si>
  <si>
    <t>2023_2</t>
  </si>
  <si>
    <t xml:space="preserve"> </t>
  </si>
  <si>
    <t>2024_1</t>
  </si>
  <si>
    <t>2024_2</t>
  </si>
  <si>
    <t>2025_1</t>
  </si>
  <si>
    <t>2025_2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</si>
</sst>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7" borderId="0" xfId="0" applyFont="1" applyFill="1"/>
    <xf numFmtId="0" fontId="6" fillId="5" borderId="0" xfId="0" applyFont="1" applyFill="1"/>
    <xf numFmtId="0" fontId="6" fillId="3" borderId="0" xfId="0" applyFont="1" applyFill="1"/>
    <xf numFmtId="0" fontId="0" fillId="3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Jumlah Mahasiswa</a:t>
            </a:r>
            <a:r>
              <a:rPr lang="en-US" b="1" baseline="0"/>
              <a:t> Baru</a:t>
            </a:r>
            <a:r>
              <a:rPr lang="en-US" b="1"/>
              <a:t> Teknologi</a:t>
            </a:r>
            <a:r>
              <a:rPr lang="en-US" b="1" baseline="0"/>
              <a:t> Manufaktur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TM'!$B$3</c:f>
              <c:strCache>
                <c:ptCount val="1"/>
                <c:pt idx="0">
                  <c:v>Jumlah MABA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TM'!$A$4:$A$14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'Grafik TM'!$B$4:$B$14</c:f>
              <c:numCache>
                <c:formatCode>General</c:formatCode>
                <c:ptCount val="11"/>
                <c:pt idx="0">
                  <c:v>5</c:v>
                </c:pt>
                <c:pt idx="1">
                  <c:v>14</c:v>
                </c:pt>
                <c:pt idx="2">
                  <c:v>25</c:v>
                </c:pt>
                <c:pt idx="3">
                  <c:v>18</c:v>
                </c:pt>
                <c:pt idx="4">
                  <c:v>26</c:v>
                </c:pt>
                <c:pt idx="5">
                  <c:v>15</c:v>
                </c:pt>
                <c:pt idx="6">
                  <c:v>19</c:v>
                </c:pt>
                <c:pt idx="7">
                  <c:v>23</c:v>
                </c:pt>
                <c:pt idx="8">
                  <c:v>16</c:v>
                </c:pt>
                <c:pt idx="9">
                  <c:v>31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A-496E-AB6F-209C5F879D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1534608"/>
        <c:axId val="1916103872"/>
      </c:barChart>
      <c:catAx>
        <c:axId val="198153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Tahun Masuk</a:t>
                </a:r>
              </a:p>
            </c:rich>
          </c:tx>
          <c:layout>
            <c:manualLayout>
              <c:xMode val="edge"/>
              <c:yMode val="edge"/>
              <c:x val="0.43623623483915602"/>
              <c:y val="0.90282161248435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03872"/>
        <c:crosses val="autoZero"/>
        <c:auto val="1"/>
        <c:lblAlgn val="ctr"/>
        <c:lblOffset val="100"/>
        <c:noMultiLvlLbl val="0"/>
      </c:catAx>
      <c:valAx>
        <c:axId val="19161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534608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Jumlah Lulusan Teknologi</a:t>
            </a:r>
            <a:r>
              <a:rPr lang="en-US" b="1" baseline="0"/>
              <a:t> Manufaktur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TM'!$A$35</c:f>
              <c:strCache>
                <c:ptCount val="1"/>
                <c:pt idx="0">
                  <c:v>Jumlah Lulusan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'Grafik TM'!$B$33:$H$34</c:f>
              <c:multiLvlStrCache>
                <c:ptCount val="7"/>
                <c:lvl>
                  <c:pt idx="0">
                    <c:v>2017_2</c:v>
                  </c:pt>
                  <c:pt idx="1">
                    <c:v>2018_2</c:v>
                  </c:pt>
                  <c:pt idx="2">
                    <c:v>2019_2</c:v>
                  </c:pt>
                  <c:pt idx="3">
                    <c:v>2020_2</c:v>
                  </c:pt>
                  <c:pt idx="4">
                    <c:v>2021_2</c:v>
                  </c:pt>
                  <c:pt idx="5">
                    <c:v>2022_2</c:v>
                  </c:pt>
                  <c:pt idx="6">
                    <c:v>2023_2</c:v>
                  </c:pt>
                </c:lvl>
                <c:lvl>
                  <c:pt idx="0">
                    <c:v>PERIODE </c:v>
                  </c:pt>
                </c:lvl>
              </c:multiLvlStrCache>
            </c:multiLvlStrRef>
          </c:cat>
          <c:val>
            <c:numRef>
              <c:f>'Grafik TM'!$B$35:$H$35</c:f>
              <c:numCache>
                <c:formatCode>General</c:formatCode>
                <c:ptCount val="7"/>
                <c:pt idx="0">
                  <c:v>7</c:v>
                </c:pt>
                <c:pt idx="1">
                  <c:v>12</c:v>
                </c:pt>
                <c:pt idx="2">
                  <c:v>13</c:v>
                </c:pt>
                <c:pt idx="3">
                  <c:v>20</c:v>
                </c:pt>
                <c:pt idx="4">
                  <c:v>10</c:v>
                </c:pt>
                <c:pt idx="5">
                  <c:v>14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C-445A-97D6-61A8C772D7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812976"/>
        <c:axId val="2025695104"/>
      </c:barChart>
      <c:catAx>
        <c:axId val="18728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95104"/>
        <c:crosses val="autoZero"/>
        <c:auto val="1"/>
        <c:lblAlgn val="ctr"/>
        <c:lblOffset val="100"/>
        <c:noMultiLvlLbl val="0"/>
      </c:catAx>
      <c:valAx>
        <c:axId val="20256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Jumlah Mahasiswa</a:t>
            </a:r>
            <a:r>
              <a:rPr lang="en-US" b="1" baseline="0"/>
              <a:t> Baru</a:t>
            </a:r>
            <a:r>
              <a:rPr lang="en-US" b="1"/>
              <a:t> Teknologi</a:t>
            </a:r>
            <a:r>
              <a:rPr lang="en-US" b="1" baseline="0"/>
              <a:t> Listrik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TL'!$B$3</c:f>
              <c:strCache>
                <c:ptCount val="1"/>
                <c:pt idx="0">
                  <c:v>Jumlah MABA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TL'!$A$4:$A$14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'Grafik TL'!$B$4:$B$14</c:f>
              <c:numCache>
                <c:formatCode>General</c:formatCode>
                <c:ptCount val="11"/>
                <c:pt idx="0">
                  <c:v>10</c:v>
                </c:pt>
                <c:pt idx="1">
                  <c:v>42</c:v>
                </c:pt>
                <c:pt idx="2">
                  <c:v>44</c:v>
                </c:pt>
                <c:pt idx="3">
                  <c:v>11</c:v>
                </c:pt>
                <c:pt idx="4">
                  <c:v>18</c:v>
                </c:pt>
                <c:pt idx="5">
                  <c:v>19</c:v>
                </c:pt>
                <c:pt idx="6">
                  <c:v>18</c:v>
                </c:pt>
                <c:pt idx="7">
                  <c:v>12</c:v>
                </c:pt>
                <c:pt idx="8">
                  <c:v>12</c:v>
                </c:pt>
                <c:pt idx="9">
                  <c:v>19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F-4B1D-8A3B-F14DB5ECE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1534608"/>
        <c:axId val="1916103872"/>
      </c:barChart>
      <c:catAx>
        <c:axId val="198153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Tahun Masuk</a:t>
                </a:r>
              </a:p>
            </c:rich>
          </c:tx>
          <c:layout>
            <c:manualLayout>
              <c:xMode val="edge"/>
              <c:yMode val="edge"/>
              <c:x val="0.43623623483915602"/>
              <c:y val="0.90282161248435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03872"/>
        <c:crosses val="autoZero"/>
        <c:auto val="1"/>
        <c:lblAlgn val="ctr"/>
        <c:lblOffset val="100"/>
        <c:noMultiLvlLbl val="0"/>
      </c:catAx>
      <c:valAx>
        <c:axId val="19161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534608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Jumlah Lulusan Teknologi</a:t>
            </a:r>
            <a:r>
              <a:rPr lang="en-US" b="1" baseline="0"/>
              <a:t> Listrik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TL'!$A$35</c:f>
              <c:strCache>
                <c:ptCount val="1"/>
                <c:pt idx="0">
                  <c:v>Jumlah Lulusan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'Grafik TL'!$B$33:$H$34</c:f>
              <c:multiLvlStrCache>
                <c:ptCount val="7"/>
                <c:lvl>
                  <c:pt idx="0">
                    <c:v>2017_2</c:v>
                  </c:pt>
                  <c:pt idx="1">
                    <c:v>2018_2</c:v>
                  </c:pt>
                  <c:pt idx="2">
                    <c:v>2019_2</c:v>
                  </c:pt>
                  <c:pt idx="3">
                    <c:v>2020_2</c:v>
                  </c:pt>
                  <c:pt idx="4">
                    <c:v>2021_2</c:v>
                  </c:pt>
                  <c:pt idx="5">
                    <c:v>2022_2</c:v>
                  </c:pt>
                  <c:pt idx="6">
                    <c:v>2023_2</c:v>
                  </c:pt>
                </c:lvl>
                <c:lvl>
                  <c:pt idx="0">
                    <c:v>PERIODE </c:v>
                  </c:pt>
                </c:lvl>
              </c:multiLvlStrCache>
            </c:multiLvlStrRef>
          </c:cat>
          <c:val>
            <c:numRef>
              <c:f>'Grafik TL'!$B$35:$H$35</c:f>
              <c:numCache>
                <c:formatCode>General</c:formatCode>
                <c:ptCount val="7"/>
                <c:pt idx="0">
                  <c:v>35</c:v>
                </c:pt>
                <c:pt idx="1">
                  <c:v>12</c:v>
                </c:pt>
                <c:pt idx="2">
                  <c:v>10</c:v>
                </c:pt>
                <c:pt idx="3">
                  <c:v>11</c:v>
                </c:pt>
                <c:pt idx="4">
                  <c:v>14</c:v>
                </c:pt>
                <c:pt idx="5">
                  <c:v>7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5-46F2-8026-472FC2EB7B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812976"/>
        <c:axId val="2025695104"/>
      </c:barChart>
      <c:catAx>
        <c:axId val="18728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95104"/>
        <c:crosses val="autoZero"/>
        <c:auto val="1"/>
        <c:lblAlgn val="ctr"/>
        <c:lblOffset val="100"/>
        <c:noMultiLvlLbl val="0"/>
      </c:catAx>
      <c:valAx>
        <c:axId val="20256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Jumlah Mahasiswa</a:t>
            </a:r>
            <a:r>
              <a:rPr lang="en-US" b="1" baseline="0"/>
              <a:t> Baru</a:t>
            </a:r>
            <a:r>
              <a:rPr lang="en-US" b="1"/>
              <a:t> Agroindustri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Agro'!$B$3</c:f>
              <c:strCache>
                <c:ptCount val="1"/>
                <c:pt idx="0">
                  <c:v>Jumlah MABA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Agro'!$A$4:$A$14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'Grafik Agro'!$B$4:$B$14</c:f>
              <c:numCache>
                <c:formatCode>General</c:formatCode>
                <c:ptCount val="11"/>
                <c:pt idx="0">
                  <c:v>3</c:v>
                </c:pt>
                <c:pt idx="1">
                  <c:v>6</c:v>
                </c:pt>
                <c:pt idx="2">
                  <c:v>14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18</c:v>
                </c:pt>
                <c:pt idx="7">
                  <c:v>11</c:v>
                </c:pt>
                <c:pt idx="8">
                  <c:v>9</c:v>
                </c:pt>
                <c:pt idx="9">
                  <c:v>3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F-4667-BF88-960808D562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1534608"/>
        <c:axId val="1916103872"/>
      </c:barChart>
      <c:catAx>
        <c:axId val="198153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Tahun Masuk</a:t>
                </a:r>
              </a:p>
            </c:rich>
          </c:tx>
          <c:layout>
            <c:manualLayout>
              <c:xMode val="edge"/>
              <c:yMode val="edge"/>
              <c:x val="0.43623623483915602"/>
              <c:y val="0.90282161248435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03872"/>
        <c:crosses val="autoZero"/>
        <c:auto val="1"/>
        <c:lblAlgn val="ctr"/>
        <c:lblOffset val="100"/>
        <c:noMultiLvlLbl val="0"/>
      </c:catAx>
      <c:valAx>
        <c:axId val="19161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534608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Jumlah Lulusan Agroindustri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Agro'!$A$35</c:f>
              <c:strCache>
                <c:ptCount val="1"/>
                <c:pt idx="0">
                  <c:v>Jumlah Lulusan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'Grafik Agro'!$B$33:$H$34</c:f>
              <c:multiLvlStrCache>
                <c:ptCount val="7"/>
                <c:lvl>
                  <c:pt idx="0">
                    <c:v>2017_2</c:v>
                  </c:pt>
                  <c:pt idx="1">
                    <c:v>2018_2</c:v>
                  </c:pt>
                  <c:pt idx="2">
                    <c:v>2019_2</c:v>
                  </c:pt>
                  <c:pt idx="3">
                    <c:v>2020_2</c:v>
                  </c:pt>
                  <c:pt idx="4">
                    <c:v>2021_2</c:v>
                  </c:pt>
                  <c:pt idx="5">
                    <c:v>2022_2</c:v>
                  </c:pt>
                  <c:pt idx="6">
                    <c:v>2023_2</c:v>
                  </c:pt>
                </c:lvl>
                <c:lvl>
                  <c:pt idx="0">
                    <c:v>PERIODE </c:v>
                  </c:pt>
                </c:lvl>
              </c:multiLvlStrCache>
            </c:multiLvlStrRef>
          </c:cat>
          <c:val>
            <c:numRef>
              <c:f>'Grafik Agro'!$B$35:$H$35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F-4CD0-BFAB-C3419F924A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812976"/>
        <c:axId val="2025695104"/>
      </c:barChart>
      <c:catAx>
        <c:axId val="18728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95104"/>
        <c:crosses val="autoZero"/>
        <c:auto val="1"/>
        <c:lblAlgn val="ctr"/>
        <c:lblOffset val="100"/>
        <c:noMultiLvlLbl val="0"/>
      </c:catAx>
      <c:valAx>
        <c:axId val="20256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42022</xdr:colOff>
      <xdr:row>14</xdr:row>
      <xdr:rowOff>168088</xdr:rowOff>
    </xdr:from>
    <xdr:to>
      <xdr:col>6</xdr:col>
      <xdr:colOff>523875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CE8CE-4B4E-4FC4-BEAD-66501B669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37</xdr:row>
      <xdr:rowOff>8684</xdr:rowOff>
    </xdr:from>
    <xdr:to>
      <xdr:col>7</xdr:col>
      <xdr:colOff>66675</xdr:colOff>
      <xdr:row>50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C59D1C-84A3-4F49-9FF9-0280473FB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42022</xdr:colOff>
      <xdr:row>14</xdr:row>
      <xdr:rowOff>168088</xdr:rowOff>
    </xdr:from>
    <xdr:to>
      <xdr:col>6</xdr:col>
      <xdr:colOff>571500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A1AC8-34CF-4417-9DAB-F470B8B49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37</xdr:row>
      <xdr:rowOff>76200</xdr:rowOff>
    </xdr:from>
    <xdr:to>
      <xdr:col>6</xdr:col>
      <xdr:colOff>590550</xdr:colOff>
      <xdr:row>50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E568F-EC94-40C1-92FC-943AA9DE4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42023</xdr:colOff>
      <xdr:row>14</xdr:row>
      <xdr:rowOff>168088</xdr:rowOff>
    </xdr:from>
    <xdr:to>
      <xdr:col>7</xdr:col>
      <xdr:colOff>266701</xdr:colOff>
      <xdr:row>30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DD490C-C5EF-C60C-538D-8B4B1639D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37</xdr:row>
      <xdr:rowOff>8684</xdr:rowOff>
    </xdr:from>
    <xdr:to>
      <xdr:col>6</xdr:col>
      <xdr:colOff>571501</xdr:colOff>
      <xdr:row>50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342F86-AF2F-667F-E76E-37DE106F5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3"/>
  <sheetViews>
    <sheetView topLeftCell="A7" zoomScale="59" zoomScaleNormal="59" workbookViewId="0">
      <pane xSplit="1" topLeftCell="F1" activePane="topRight" state="frozen"/>
      <selection pane="topRight" activeCell="AH17" sqref="AH17"/>
    </sheetView>
  </sheetViews>
  <sheetFormatPr defaultRowHeight="15" x14ac:dyDescent="0.25"/>
  <cols>
    <col min="1" max="1" width="12.7109375" customWidth="1"/>
    <col min="2" max="35" width="10.7109375" customWidth="1"/>
    <col min="36" max="36" width="14" customWidth="1"/>
  </cols>
  <sheetData>
    <row r="1" spans="1:39" ht="28.5" x14ac:dyDescent="0.25">
      <c r="A1" s="51" t="s">
        <v>29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</row>
    <row r="2" spans="1:39" ht="28.5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45"/>
      <c r="AG2" s="47"/>
      <c r="AH2" s="47"/>
      <c r="AI2" s="47"/>
      <c r="AJ2" s="22"/>
    </row>
    <row r="4" spans="1:39" ht="50.1" customHeight="1" x14ac:dyDescent="0.25">
      <c r="A4" s="52" t="s">
        <v>19</v>
      </c>
      <c r="B4" s="54" t="s">
        <v>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53" t="s">
        <v>44</v>
      </c>
    </row>
    <row r="5" spans="1:39" ht="50.1" customHeight="1" x14ac:dyDescent="0.25">
      <c r="A5" s="52"/>
      <c r="B5" s="5" t="s">
        <v>13</v>
      </c>
      <c r="C5" s="5" t="s">
        <v>14</v>
      </c>
      <c r="D5" s="5" t="s">
        <v>12</v>
      </c>
      <c r="E5" s="5" t="s">
        <v>11</v>
      </c>
      <c r="F5" s="5" t="s">
        <v>9</v>
      </c>
      <c r="G5" s="5" t="s">
        <v>10</v>
      </c>
      <c r="H5" s="4" t="s">
        <v>4</v>
      </c>
      <c r="I5" s="5" t="s">
        <v>5</v>
      </c>
      <c r="J5" s="5" t="s">
        <v>6</v>
      </c>
      <c r="K5" s="4" t="s">
        <v>4</v>
      </c>
      <c r="L5" s="5" t="s">
        <v>1</v>
      </c>
      <c r="M5" s="5" t="s">
        <v>2</v>
      </c>
      <c r="N5" s="4" t="s">
        <v>4</v>
      </c>
      <c r="O5" s="5" t="s">
        <v>3</v>
      </c>
      <c r="P5" s="5" t="s">
        <v>20</v>
      </c>
      <c r="Q5" s="6" t="s">
        <v>4</v>
      </c>
      <c r="R5" s="5" t="s">
        <v>21</v>
      </c>
      <c r="S5" s="5" t="s">
        <v>27</v>
      </c>
      <c r="T5" s="6" t="s">
        <v>4</v>
      </c>
      <c r="U5" s="27" t="s">
        <v>34</v>
      </c>
      <c r="V5" s="27" t="s">
        <v>35</v>
      </c>
      <c r="W5" s="6" t="s">
        <v>4</v>
      </c>
      <c r="X5" s="27" t="s">
        <v>36</v>
      </c>
      <c r="Y5" s="27" t="s">
        <v>37</v>
      </c>
      <c r="Z5" s="6" t="s">
        <v>4</v>
      </c>
      <c r="AA5" s="27" t="s">
        <v>38</v>
      </c>
      <c r="AB5" s="27" t="s">
        <v>49</v>
      </c>
      <c r="AC5" s="6" t="s">
        <v>4</v>
      </c>
      <c r="AD5" s="27" t="s">
        <v>51</v>
      </c>
      <c r="AE5" s="27" t="s">
        <v>52</v>
      </c>
      <c r="AF5" s="46" t="s">
        <v>4</v>
      </c>
      <c r="AG5" s="48" t="s">
        <v>53</v>
      </c>
      <c r="AH5" s="48" t="s">
        <v>54</v>
      </c>
      <c r="AI5" s="49" t="s">
        <v>4</v>
      </c>
      <c r="AJ5" s="53"/>
    </row>
    <row r="6" spans="1:39" ht="50.1" customHeight="1" x14ac:dyDescent="0.25">
      <c r="A6" s="36">
        <v>2014</v>
      </c>
      <c r="B6" s="17">
        <f>TM!B6+TL!B6+AGRO!B6</f>
        <v>18</v>
      </c>
      <c r="C6" s="16">
        <f>TM!C6+TL!C6+AGRO!C6</f>
        <v>13</v>
      </c>
      <c r="D6" s="16">
        <f>TM!D6+TL!D6+AGRO!D6</f>
        <v>12</v>
      </c>
      <c r="E6" s="16">
        <f>TM!E6+TL!E6+AGRO!E6</f>
        <v>10</v>
      </c>
      <c r="F6" s="16">
        <f>TM!F6+TL!F6+AGRO!F6</f>
        <v>9</v>
      </c>
      <c r="G6" s="16">
        <f>TM!G6+TL!G6+AGRO!G6</f>
        <v>9</v>
      </c>
      <c r="H6" s="18">
        <v>0</v>
      </c>
      <c r="I6" s="16">
        <f>TM!I6+TL!I6+AGRO!I6</f>
        <v>9</v>
      </c>
      <c r="J6" s="16">
        <f>TM!J6+TL!J6+AGRO!J6</f>
        <v>9</v>
      </c>
      <c r="K6" s="18">
        <f>TM!K6+TL!K6+AGRO!K6</f>
        <v>9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8">
        <v>9</v>
      </c>
    </row>
    <row r="7" spans="1:39" ht="50.1" customHeight="1" x14ac:dyDescent="0.25">
      <c r="A7" s="36">
        <v>2015</v>
      </c>
      <c r="B7" s="20"/>
      <c r="C7" s="20"/>
      <c r="D7" s="17">
        <f>TM!D7+TL!D7+AGRO!D7</f>
        <v>62</v>
      </c>
      <c r="E7" s="16">
        <f>TM!E7+TL!E7+AGRO!E7</f>
        <v>58</v>
      </c>
      <c r="F7" s="16">
        <f>TM!F7+TL!F7+AGRO!F7</f>
        <v>55</v>
      </c>
      <c r="G7" s="16">
        <f>TM!G7+TL!G7+AGRO!G7</f>
        <v>55</v>
      </c>
      <c r="H7" s="18">
        <v>0</v>
      </c>
      <c r="I7" s="16">
        <f>TM!I7+TL!I7+AGRO!I7</f>
        <v>51</v>
      </c>
      <c r="J7" s="16">
        <f>TM!J7+TL!J7+AGRO!J7</f>
        <v>49</v>
      </c>
      <c r="K7" s="18">
        <f>TM!K7+TL!K7+AGRO!K7</f>
        <v>37</v>
      </c>
      <c r="L7" s="16">
        <f>TM!L7+TL!L7</f>
        <v>9</v>
      </c>
      <c r="M7" s="16">
        <f>TM!M7+TL!M7</f>
        <v>7</v>
      </c>
      <c r="N7" s="18">
        <f>TM!N7+TL!N7</f>
        <v>3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18">
        <f>K7+N7</f>
        <v>40</v>
      </c>
    </row>
    <row r="8" spans="1:39" ht="50.1" customHeight="1" x14ac:dyDescent="0.25">
      <c r="A8" s="36">
        <v>2016</v>
      </c>
      <c r="B8" s="20"/>
      <c r="C8" s="20"/>
      <c r="D8" s="20"/>
      <c r="E8" s="20"/>
      <c r="F8" s="17">
        <f>TM!F8+TL!F8+AGRO!F8</f>
        <v>83</v>
      </c>
      <c r="G8" s="16">
        <f>TM!G8+TL!G8+AGRO!G8</f>
        <v>81</v>
      </c>
      <c r="H8" s="18">
        <v>0</v>
      </c>
      <c r="I8" s="16">
        <f>TM!I8+TL!I8+AGRO!I8</f>
        <v>79</v>
      </c>
      <c r="J8" s="16">
        <f>TM!J8+TL!J8+AGRO!J8</f>
        <v>79</v>
      </c>
      <c r="K8" s="18">
        <v>0</v>
      </c>
      <c r="L8" s="16">
        <f>TM!L8+TL!L8+AGRO!L8</f>
        <v>67</v>
      </c>
      <c r="M8" s="16">
        <f>TM!M8+TL!M8+AGRO!M8</f>
        <v>64</v>
      </c>
      <c r="N8" s="18">
        <f>TM!N8+TL!N8+AGRO!N8</f>
        <v>28</v>
      </c>
      <c r="O8" s="16">
        <f>TM!O8+TL!O8</f>
        <v>5</v>
      </c>
      <c r="P8" s="16">
        <f>TM!P8+TL!P8</f>
        <v>5</v>
      </c>
      <c r="Q8" s="18">
        <f>TM!Q8+TL!Q8</f>
        <v>3</v>
      </c>
      <c r="R8" s="16">
        <f>TM!R8</f>
        <v>2</v>
      </c>
      <c r="S8" s="16">
        <v>0</v>
      </c>
      <c r="T8" s="18">
        <v>0</v>
      </c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8">
        <f>H8+K8+N8+Q8</f>
        <v>31</v>
      </c>
    </row>
    <row r="9" spans="1:39" ht="50.1" customHeight="1" x14ac:dyDescent="0.25">
      <c r="A9" s="36">
        <v>2017</v>
      </c>
      <c r="B9" s="20"/>
      <c r="C9" s="20"/>
      <c r="D9" s="20"/>
      <c r="E9" s="20"/>
      <c r="F9" s="20"/>
      <c r="G9" s="20"/>
      <c r="H9" s="20"/>
      <c r="I9" s="17">
        <f>TM!I9+TL!I9+AGRO!I9</f>
        <v>36</v>
      </c>
      <c r="J9" s="16">
        <f>TM!J9+TL!J9+AGRO!J9</f>
        <v>35</v>
      </c>
      <c r="K9" s="18">
        <v>0</v>
      </c>
      <c r="L9" s="16">
        <f>TM!L9+TL!L9+AGRO!L9</f>
        <v>33</v>
      </c>
      <c r="M9" s="16">
        <f>TM!M9+TL!M9+AGRO!M9</f>
        <v>31</v>
      </c>
      <c r="N9" s="18">
        <f>TM!N9</f>
        <v>1</v>
      </c>
      <c r="O9" s="16">
        <f>TM!O9+TL!O9+AGRO!O9</f>
        <v>25</v>
      </c>
      <c r="P9" s="16">
        <f>TM!P9+TL!P9+AGRO!P9</f>
        <v>24</v>
      </c>
      <c r="Q9" s="18">
        <f>TM!Q9+TL!Q9+AGRO!Q9</f>
        <v>22</v>
      </c>
      <c r="R9" s="16">
        <f>TM!R9</f>
        <v>2</v>
      </c>
      <c r="S9" s="16">
        <f>TM!S9</f>
        <v>2</v>
      </c>
      <c r="T9" s="18"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18">
        <f>N9+Q9</f>
        <v>23</v>
      </c>
    </row>
    <row r="10" spans="1:39" ht="50.1" customHeight="1" x14ac:dyDescent="0.25">
      <c r="A10" s="36">
        <v>2018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7">
        <f>TM!L10+TL!L10+AGRO!L10</f>
        <v>52</v>
      </c>
      <c r="M10" s="16">
        <f>TM!M10+TL!M10+AGRO!M10</f>
        <v>50</v>
      </c>
      <c r="N10" s="18">
        <v>0</v>
      </c>
      <c r="O10" s="16">
        <f>TM!O10+TL!O10+AGRO!O10</f>
        <v>46</v>
      </c>
      <c r="P10" s="16">
        <f>TM!P10+TL!P10+AGRO!P10</f>
        <v>46</v>
      </c>
      <c r="Q10" s="18">
        <f>TM!Q10</f>
        <v>1</v>
      </c>
      <c r="R10" s="16">
        <f>TM!R10+TL!R10+AGRO!R10</f>
        <v>45</v>
      </c>
      <c r="S10" s="16">
        <f>TM!S10+TL!S10+AGRO!S10</f>
        <v>41</v>
      </c>
      <c r="T10" s="18">
        <f>TM!T10+TL!T10+AGRO!T10</f>
        <v>39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18">
        <f>Q10+T10</f>
        <v>40</v>
      </c>
    </row>
    <row r="11" spans="1:39" ht="50.1" customHeight="1" x14ac:dyDescent="0.25">
      <c r="A11" s="36">
        <v>2019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7">
        <f>TM!O11+TL!O11+AGRO!O11</f>
        <v>38</v>
      </c>
      <c r="P11" s="16">
        <f>TM!P11+TL!P11+AGRO!P11</f>
        <v>36</v>
      </c>
      <c r="Q11" s="18">
        <v>0</v>
      </c>
      <c r="R11" s="16">
        <f>TM!R11+TL!R11+AGRO!R11</f>
        <v>35</v>
      </c>
      <c r="S11" s="16">
        <f>TM!S11+TL!S11+AGRO!S11</f>
        <v>33</v>
      </c>
      <c r="T11" s="18">
        <v>0</v>
      </c>
      <c r="U11" s="16">
        <f>TM!U11+TL!U11+AGRO!U11</f>
        <v>33</v>
      </c>
      <c r="V11" s="16">
        <f>TM!V11+TL!V11+AGRO!V11</f>
        <v>32</v>
      </c>
      <c r="W11" s="18">
        <f>TM!W11+TL!W11+AGRO!W11</f>
        <v>27</v>
      </c>
      <c r="X11" s="16">
        <f>TM!X11+TL!X11</f>
        <v>0</v>
      </c>
      <c r="Y11" s="16">
        <f>TM!Y11+TL!Y11</f>
        <v>2</v>
      </c>
      <c r="Z11" s="18">
        <f>TM!Z11</f>
        <v>1</v>
      </c>
      <c r="AA11" s="16">
        <v>0</v>
      </c>
      <c r="AB11" s="16">
        <v>1</v>
      </c>
      <c r="AC11" s="18">
        <v>1</v>
      </c>
      <c r="AD11" s="20"/>
      <c r="AE11" s="20"/>
      <c r="AF11" s="20"/>
      <c r="AG11" s="20"/>
      <c r="AH11" s="20"/>
      <c r="AI11" s="20"/>
      <c r="AJ11" s="18">
        <f>W11+Z11+AC11</f>
        <v>29</v>
      </c>
    </row>
    <row r="12" spans="1:39" ht="50.1" customHeight="1" x14ac:dyDescent="0.25">
      <c r="A12" s="36">
        <v>2020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7">
        <f>TM!R12+TL!R12+AGRO!R12</f>
        <v>55</v>
      </c>
      <c r="S12" s="16">
        <f>TM!S12+TL!S12+AGRO!S12</f>
        <v>45</v>
      </c>
      <c r="T12" s="18">
        <v>0</v>
      </c>
      <c r="U12" s="16">
        <f>TM!U12+TL!U12+AGRO!U12</f>
        <v>40</v>
      </c>
      <c r="V12" s="16">
        <f>TM!V12+TL!V12+AGRO!V12</f>
        <v>39</v>
      </c>
      <c r="W12" s="18">
        <v>0</v>
      </c>
      <c r="X12" s="16">
        <f>TM!X12+TL!X12+AGRO!X12</f>
        <v>37</v>
      </c>
      <c r="Y12" s="16">
        <f>TM!Y12+TL!Y12+AGRO!Y12</f>
        <v>34</v>
      </c>
      <c r="Z12" s="18">
        <f>TM!Z12+TL!Z12+AGRO!Z12</f>
        <v>27</v>
      </c>
      <c r="AA12" s="16">
        <f>TM!AA12+TL!AA12+AGRO!AA12</f>
        <v>2</v>
      </c>
      <c r="AB12" s="16">
        <f>TM!AB12+TL!AB12+AGRO!AB12</f>
        <v>7</v>
      </c>
      <c r="AC12" s="18">
        <v>4</v>
      </c>
      <c r="AD12" s="16">
        <f>TM!AD12+TL!AD12+AGRO!AD12</f>
        <v>1</v>
      </c>
      <c r="AE12" s="16">
        <f>TM!AE12+TL!AE12+AGRO!AE12</f>
        <v>1</v>
      </c>
      <c r="AF12" s="18">
        <f>TM!AF12+TL!AF12+AGRO!AF12</f>
        <v>1</v>
      </c>
      <c r="AG12" s="20"/>
      <c r="AH12" s="20"/>
      <c r="AI12" s="20"/>
      <c r="AJ12" s="18">
        <f>Z12+AC12+AF12</f>
        <v>32</v>
      </c>
    </row>
    <row r="13" spans="1:39" ht="50.1" customHeight="1" x14ac:dyDescent="0.25">
      <c r="A13" s="41">
        <v>2021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7">
        <f>TM!U13+TL!U13+AGRO!U13</f>
        <v>46</v>
      </c>
      <c r="V13" s="16">
        <f>TM!V13+TL!V13+AGRO!V13</f>
        <v>43</v>
      </c>
      <c r="W13" s="18">
        <v>0</v>
      </c>
      <c r="X13" s="16">
        <f>TM!X13+TL!X13+AGRO!X13</f>
        <v>41</v>
      </c>
      <c r="Y13" s="16">
        <f>TM!Y13+TL!Y13+AGRO!Y13</f>
        <v>39</v>
      </c>
      <c r="Z13" s="18">
        <v>0</v>
      </c>
      <c r="AA13" s="16">
        <f>TM!AA13+TL!AA13+AGRO!AA13</f>
        <v>39</v>
      </c>
      <c r="AB13" s="16">
        <f>TM!AB13+TL!AB13+AGRO!AB13</f>
        <v>37</v>
      </c>
      <c r="AC13" s="18">
        <v>27</v>
      </c>
      <c r="AD13" s="16">
        <f>TM!AD13+TL!AD13+AGRO!AD13</f>
        <v>2</v>
      </c>
      <c r="AE13" s="16">
        <f>TM!AE13+TL!AE13+AGRO!AE13</f>
        <v>6</v>
      </c>
      <c r="AF13" s="18">
        <f>TM!AF13+TL!AF13+AGRO!AF13</f>
        <v>5</v>
      </c>
      <c r="AG13" s="20"/>
      <c r="AH13" s="20"/>
      <c r="AI13" s="20"/>
      <c r="AJ13" s="18">
        <f>AC13+AF13</f>
        <v>32</v>
      </c>
    </row>
    <row r="14" spans="1:39" ht="50.1" customHeight="1" x14ac:dyDescent="0.25">
      <c r="A14" s="41">
        <v>2022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7">
        <f>TM!X14+TL!X14+AGRO!X14</f>
        <v>37</v>
      </c>
      <c r="Y14" s="16">
        <f>TM!Y14+TL!Y14+AGRO!Y14</f>
        <v>29</v>
      </c>
      <c r="Z14" s="18">
        <v>0</v>
      </c>
      <c r="AA14" s="16">
        <f>TM!AA14+TL!AA14+AGRO!AA14</f>
        <v>28</v>
      </c>
      <c r="AB14" s="16">
        <f>TM!AB14+TL!AB14+AGRO!AB14</f>
        <v>27</v>
      </c>
      <c r="AC14" s="18">
        <v>0</v>
      </c>
      <c r="AD14" s="16">
        <f>TM!AD14+TL!AD14+AGRO!AD14</f>
        <v>28</v>
      </c>
      <c r="AE14" s="16">
        <f>TM!AE14+TL!AE14+AGRO!AE14</f>
        <v>25</v>
      </c>
      <c r="AF14" s="18">
        <f>TM!AF14+TL!AF14+AGRO!AF14</f>
        <v>18</v>
      </c>
      <c r="AG14" s="50">
        <v>1</v>
      </c>
      <c r="AH14" s="50">
        <v>1</v>
      </c>
      <c r="AI14" s="18"/>
      <c r="AJ14" s="18">
        <f>AF14</f>
        <v>18</v>
      </c>
      <c r="AM14" t="s">
        <v>50</v>
      </c>
    </row>
    <row r="15" spans="1:39" ht="50.1" customHeight="1" x14ac:dyDescent="0.25">
      <c r="A15" s="41">
        <v>2023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17">
        <f>TM!AA15+TL!AA15+AGRO!AA15</f>
        <v>53</v>
      </c>
      <c r="AB15" s="16">
        <f>TM!AB15+TL!AB15+AGRO!AB15</f>
        <v>49</v>
      </c>
      <c r="AC15" s="18">
        <v>0</v>
      </c>
      <c r="AD15" s="16">
        <f>TM!AD15+TL!AD15+AGRO!AD15</f>
        <v>47</v>
      </c>
      <c r="AE15" s="16">
        <f>TM!AE15+TL!AE15+AGRO!AE15</f>
        <v>42</v>
      </c>
      <c r="AF15" s="18">
        <v>0</v>
      </c>
      <c r="AG15" s="50">
        <v>2</v>
      </c>
      <c r="AH15" s="50">
        <v>1</v>
      </c>
      <c r="AI15" s="18"/>
      <c r="AJ15" s="20"/>
    </row>
    <row r="16" spans="1:39" ht="50.1" customHeight="1" x14ac:dyDescent="0.25">
      <c r="A16" s="41">
        <v>2024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7">
        <f>TM!AD16+TL!AD16+AGRO!AD16</f>
        <v>43</v>
      </c>
      <c r="AE16" s="16">
        <f>TM!AE16+TL!AE16+AGRO!AE16</f>
        <v>40</v>
      </c>
      <c r="AF16" s="18">
        <v>0</v>
      </c>
      <c r="AG16" s="50">
        <v>6</v>
      </c>
      <c r="AH16" s="50">
        <v>6</v>
      </c>
      <c r="AI16" s="18"/>
      <c r="AJ16" s="20"/>
    </row>
    <row r="17" spans="1:36" ht="50.1" customHeight="1" x14ac:dyDescent="0.25">
      <c r="A17" s="41">
        <v>2025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17">
        <f>TM!AG17+TL!AG17+AGRO!AG17</f>
        <v>141</v>
      </c>
      <c r="AH17" s="50"/>
      <c r="AI17" s="18"/>
      <c r="AJ17" s="20"/>
    </row>
    <row r="18" spans="1:36" ht="50.1" customHeight="1" x14ac:dyDescent="0.25">
      <c r="A18" s="42" t="s">
        <v>8</v>
      </c>
      <c r="B18" s="21">
        <f>SUM(B6:B15)</f>
        <v>18</v>
      </c>
      <c r="C18" s="21">
        <f>SUM(C6:C15)</f>
        <v>13</v>
      </c>
      <c r="D18" s="21">
        <f t="shared" ref="D18:AA18" si="0">SUM(D6:D15)</f>
        <v>74</v>
      </c>
      <c r="E18" s="21">
        <f t="shared" si="0"/>
        <v>68</v>
      </c>
      <c r="F18" s="21">
        <f t="shared" si="0"/>
        <v>147</v>
      </c>
      <c r="G18" s="21">
        <f t="shared" si="0"/>
        <v>145</v>
      </c>
      <c r="H18" s="18">
        <f t="shared" si="0"/>
        <v>0</v>
      </c>
      <c r="I18" s="21">
        <f t="shared" si="0"/>
        <v>175</v>
      </c>
      <c r="J18" s="21">
        <f t="shared" si="0"/>
        <v>172</v>
      </c>
      <c r="K18" s="18">
        <f t="shared" si="0"/>
        <v>46</v>
      </c>
      <c r="L18" s="21">
        <f t="shared" si="0"/>
        <v>161</v>
      </c>
      <c r="M18" s="21">
        <f t="shared" si="0"/>
        <v>152</v>
      </c>
      <c r="N18" s="18">
        <f t="shared" si="0"/>
        <v>32</v>
      </c>
      <c r="O18" s="21">
        <f t="shared" si="0"/>
        <v>114</v>
      </c>
      <c r="P18" s="21">
        <f t="shared" si="0"/>
        <v>111</v>
      </c>
      <c r="Q18" s="18">
        <f t="shared" si="0"/>
        <v>26</v>
      </c>
      <c r="R18" s="21">
        <f t="shared" si="0"/>
        <v>139</v>
      </c>
      <c r="S18" s="21">
        <f t="shared" si="0"/>
        <v>121</v>
      </c>
      <c r="T18" s="18">
        <f t="shared" si="0"/>
        <v>39</v>
      </c>
      <c r="U18" s="21">
        <f t="shared" si="0"/>
        <v>119</v>
      </c>
      <c r="V18" s="21">
        <f t="shared" si="0"/>
        <v>114</v>
      </c>
      <c r="W18" s="18">
        <f t="shared" si="0"/>
        <v>27</v>
      </c>
      <c r="X18" s="21">
        <f t="shared" si="0"/>
        <v>115</v>
      </c>
      <c r="Y18" s="21">
        <f t="shared" si="0"/>
        <v>104</v>
      </c>
      <c r="Z18" s="18">
        <f t="shared" si="0"/>
        <v>28</v>
      </c>
      <c r="AA18" s="21">
        <f t="shared" si="0"/>
        <v>122</v>
      </c>
      <c r="AB18" s="21">
        <f>SUM(AB6:AB15)</f>
        <v>121</v>
      </c>
      <c r="AC18" s="18">
        <f>SUM(AC11:AC15)</f>
        <v>32</v>
      </c>
      <c r="AD18" s="21">
        <f>SUM(AD12:AD16)</f>
        <v>121</v>
      </c>
      <c r="AE18" s="21">
        <f>SUM(AE12:AE16)</f>
        <v>114</v>
      </c>
      <c r="AF18" s="18">
        <f>SUM(AF12:AF16)</f>
        <v>24</v>
      </c>
      <c r="AG18" s="21">
        <f>SUM(AG14:AG17)</f>
        <v>150</v>
      </c>
      <c r="AH18" s="21"/>
      <c r="AI18" s="18"/>
      <c r="AJ18" s="43">
        <f>SUM(AJ6:AJ15)</f>
        <v>254</v>
      </c>
    </row>
    <row r="19" spans="1:36" ht="24.95" customHeight="1" x14ac:dyDescent="0.25"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6" ht="21" x14ac:dyDescent="0.35">
      <c r="A20" s="13" t="s">
        <v>16</v>
      </c>
      <c r="B20" s="14"/>
      <c r="C20" s="14"/>
    </row>
    <row r="21" spans="1:36" ht="21" x14ac:dyDescent="0.35">
      <c r="A21" s="23"/>
      <c r="B21" s="14" t="s">
        <v>28</v>
      </c>
      <c r="C21" s="14"/>
    </row>
    <row r="22" spans="1:36" ht="21" x14ac:dyDescent="0.35">
      <c r="A22" s="24"/>
      <c r="B22" s="15" t="s">
        <v>18</v>
      </c>
      <c r="C22" s="14"/>
    </row>
    <row r="23" spans="1:36" ht="21" x14ac:dyDescent="0.35">
      <c r="A23" s="25"/>
      <c r="B23" s="15" t="s">
        <v>17</v>
      </c>
      <c r="C23" s="14"/>
    </row>
  </sheetData>
  <mergeCells count="4">
    <mergeCell ref="A1:AJ1"/>
    <mergeCell ref="A4:A5"/>
    <mergeCell ref="AJ4:AJ5"/>
    <mergeCell ref="B4:AI4"/>
  </mergeCells>
  <pageMargins left="0.45" right="0.45" top="0.75" bottom="0.75" header="0.3" footer="0.3"/>
  <pageSetup paperSize="9" scale="43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3"/>
  <sheetViews>
    <sheetView topLeftCell="A8" zoomScale="57" zoomScaleNormal="57" workbookViewId="0">
      <pane xSplit="1" topLeftCell="B1" activePane="topRight" state="frozen"/>
      <selection pane="topRight" activeCell="AH17" sqref="AH17"/>
    </sheetView>
  </sheetViews>
  <sheetFormatPr defaultRowHeight="15" x14ac:dyDescent="0.25"/>
  <cols>
    <col min="1" max="35" width="10.7109375" customWidth="1"/>
    <col min="36" max="36" width="14.140625" customWidth="1"/>
  </cols>
  <sheetData>
    <row r="1" spans="1:36" ht="23.25" x14ac:dyDescent="0.25">
      <c r="A1" s="57" t="s">
        <v>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</row>
    <row r="2" spans="1:3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4" spans="1:36" ht="50.1" customHeight="1" x14ac:dyDescent="0.25">
      <c r="A4" s="52" t="s">
        <v>19</v>
      </c>
      <c r="B4" s="54" t="s">
        <v>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53" t="s">
        <v>15</v>
      </c>
    </row>
    <row r="5" spans="1:36" ht="50.1" customHeight="1" x14ac:dyDescent="0.25">
      <c r="A5" s="52"/>
      <c r="B5" s="12" t="s">
        <v>13</v>
      </c>
      <c r="C5" s="12" t="s">
        <v>14</v>
      </c>
      <c r="D5" s="12" t="s">
        <v>12</v>
      </c>
      <c r="E5" s="12" t="s">
        <v>11</v>
      </c>
      <c r="F5" s="12" t="s">
        <v>9</v>
      </c>
      <c r="G5" s="12" t="s">
        <v>10</v>
      </c>
      <c r="H5" s="4" t="s">
        <v>4</v>
      </c>
      <c r="I5" s="12" t="s">
        <v>5</v>
      </c>
      <c r="J5" s="12" t="s">
        <v>6</v>
      </c>
      <c r="K5" s="4" t="s">
        <v>4</v>
      </c>
      <c r="L5" s="12" t="s">
        <v>1</v>
      </c>
      <c r="M5" s="12" t="s">
        <v>2</v>
      </c>
      <c r="N5" s="4" t="s">
        <v>4</v>
      </c>
      <c r="O5" s="12" t="s">
        <v>3</v>
      </c>
      <c r="P5" s="5" t="s">
        <v>20</v>
      </c>
      <c r="Q5" s="6" t="s">
        <v>4</v>
      </c>
      <c r="R5" s="5" t="s">
        <v>21</v>
      </c>
      <c r="S5" s="5" t="s">
        <v>27</v>
      </c>
      <c r="T5" s="6" t="s">
        <v>4</v>
      </c>
      <c r="U5" s="27" t="s">
        <v>34</v>
      </c>
      <c r="V5" s="27" t="s">
        <v>35</v>
      </c>
      <c r="W5" s="6" t="s">
        <v>4</v>
      </c>
      <c r="X5" s="27" t="s">
        <v>36</v>
      </c>
      <c r="Y5" s="27" t="s">
        <v>37</v>
      </c>
      <c r="Z5" s="6" t="s">
        <v>4</v>
      </c>
      <c r="AA5" s="27" t="s">
        <v>38</v>
      </c>
      <c r="AB5" s="27" t="s">
        <v>49</v>
      </c>
      <c r="AC5" s="6" t="s">
        <v>4</v>
      </c>
      <c r="AD5" s="27" t="s">
        <v>51</v>
      </c>
      <c r="AE5" s="27" t="s">
        <v>52</v>
      </c>
      <c r="AF5" s="46" t="s">
        <v>4</v>
      </c>
      <c r="AG5" s="48" t="s">
        <v>53</v>
      </c>
      <c r="AH5" s="48" t="s">
        <v>54</v>
      </c>
      <c r="AI5" s="49" t="s">
        <v>4</v>
      </c>
      <c r="AJ5" s="53"/>
    </row>
    <row r="6" spans="1:36" ht="50.1" customHeight="1" x14ac:dyDescent="0.25">
      <c r="A6" s="36">
        <v>2014</v>
      </c>
      <c r="B6" s="17">
        <v>5</v>
      </c>
      <c r="C6" s="16">
        <v>3</v>
      </c>
      <c r="D6" s="16">
        <v>2</v>
      </c>
      <c r="E6" s="16">
        <v>1</v>
      </c>
      <c r="F6" s="16">
        <v>1</v>
      </c>
      <c r="G6" s="16">
        <v>1</v>
      </c>
      <c r="H6" s="18">
        <v>0</v>
      </c>
      <c r="I6" s="16">
        <v>1</v>
      </c>
      <c r="J6" s="16">
        <v>1</v>
      </c>
      <c r="K6" s="18">
        <v>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8">
        <v>1</v>
      </c>
    </row>
    <row r="7" spans="1:36" ht="50.1" customHeight="1" x14ac:dyDescent="0.25">
      <c r="A7" s="36">
        <v>2015</v>
      </c>
      <c r="B7" s="20"/>
      <c r="C7" s="20"/>
      <c r="D7" s="17">
        <v>14</v>
      </c>
      <c r="E7" s="16">
        <v>14</v>
      </c>
      <c r="F7" s="16">
        <v>14</v>
      </c>
      <c r="G7" s="16">
        <v>14</v>
      </c>
      <c r="H7" s="18">
        <v>0</v>
      </c>
      <c r="I7" s="16">
        <v>10</v>
      </c>
      <c r="J7" s="16">
        <v>10</v>
      </c>
      <c r="K7" s="18">
        <v>6</v>
      </c>
      <c r="L7" s="16">
        <v>4</v>
      </c>
      <c r="M7" s="16">
        <v>2</v>
      </c>
      <c r="N7" s="18">
        <v>1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18">
        <f>K7+N7</f>
        <v>7</v>
      </c>
    </row>
    <row r="8" spans="1:36" ht="50.1" customHeight="1" x14ac:dyDescent="0.25">
      <c r="A8" s="36">
        <v>2016</v>
      </c>
      <c r="B8" s="20"/>
      <c r="C8" s="20"/>
      <c r="D8" s="20"/>
      <c r="E8" s="20"/>
      <c r="F8" s="17">
        <v>25</v>
      </c>
      <c r="G8" s="16">
        <v>25</v>
      </c>
      <c r="H8" s="18">
        <v>0</v>
      </c>
      <c r="I8" s="16">
        <v>25</v>
      </c>
      <c r="J8" s="16">
        <v>25</v>
      </c>
      <c r="K8" s="18">
        <v>0</v>
      </c>
      <c r="L8" s="16">
        <v>18</v>
      </c>
      <c r="M8" s="16">
        <v>16</v>
      </c>
      <c r="N8" s="18">
        <v>10</v>
      </c>
      <c r="O8" s="16">
        <v>4</v>
      </c>
      <c r="P8" s="16">
        <v>4</v>
      </c>
      <c r="Q8" s="18">
        <v>2</v>
      </c>
      <c r="R8" s="16">
        <v>2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8">
        <f>H8+K8+N8+Q8</f>
        <v>12</v>
      </c>
    </row>
    <row r="9" spans="1:36" ht="50.1" customHeight="1" x14ac:dyDescent="0.25">
      <c r="A9" s="36">
        <v>2017</v>
      </c>
      <c r="B9" s="20"/>
      <c r="C9" s="20"/>
      <c r="D9" s="20"/>
      <c r="E9" s="20"/>
      <c r="F9" s="20"/>
      <c r="G9" s="20"/>
      <c r="H9" s="20"/>
      <c r="I9" s="17">
        <v>18</v>
      </c>
      <c r="J9" s="16">
        <v>18</v>
      </c>
      <c r="K9" s="18">
        <v>0</v>
      </c>
      <c r="L9" s="16">
        <v>18</v>
      </c>
      <c r="M9" s="16">
        <v>17</v>
      </c>
      <c r="N9" s="18">
        <v>1</v>
      </c>
      <c r="O9" s="16">
        <v>12</v>
      </c>
      <c r="P9" s="16">
        <v>12</v>
      </c>
      <c r="Q9" s="18">
        <v>10</v>
      </c>
      <c r="R9" s="16">
        <v>2</v>
      </c>
      <c r="S9" s="16">
        <v>2</v>
      </c>
      <c r="T9" s="18"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18">
        <f>N9+Q9</f>
        <v>11</v>
      </c>
    </row>
    <row r="10" spans="1:36" ht="50.1" customHeight="1" x14ac:dyDescent="0.25">
      <c r="A10" s="36">
        <v>2018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7">
        <v>26</v>
      </c>
      <c r="M10" s="16">
        <v>24</v>
      </c>
      <c r="N10" s="18">
        <v>0</v>
      </c>
      <c r="O10" s="16">
        <v>22</v>
      </c>
      <c r="P10" s="16">
        <v>22</v>
      </c>
      <c r="Q10" s="18">
        <v>1</v>
      </c>
      <c r="R10" s="16">
        <v>21</v>
      </c>
      <c r="S10" s="16">
        <v>21</v>
      </c>
      <c r="T10" s="18">
        <v>20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18">
        <f>Q10+T10</f>
        <v>21</v>
      </c>
    </row>
    <row r="11" spans="1:36" ht="50.1" customHeight="1" x14ac:dyDescent="0.25">
      <c r="A11" s="36">
        <v>2019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7">
        <v>15</v>
      </c>
      <c r="P11" s="16">
        <v>13</v>
      </c>
      <c r="Q11" s="18">
        <v>0</v>
      </c>
      <c r="R11" s="16">
        <v>13</v>
      </c>
      <c r="S11" s="16">
        <v>12</v>
      </c>
      <c r="T11" s="18">
        <v>0</v>
      </c>
      <c r="U11" s="16">
        <v>12</v>
      </c>
      <c r="V11" s="16">
        <v>12</v>
      </c>
      <c r="W11" s="18">
        <v>10</v>
      </c>
      <c r="X11" s="16">
        <v>0</v>
      </c>
      <c r="Y11" s="16">
        <v>1</v>
      </c>
      <c r="Z11" s="18">
        <v>1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18">
        <f>W11+Z11</f>
        <v>11</v>
      </c>
    </row>
    <row r="12" spans="1:36" ht="50.1" customHeight="1" x14ac:dyDescent="0.25">
      <c r="A12" s="36">
        <v>2020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7">
        <v>19</v>
      </c>
      <c r="S12" s="16">
        <v>15</v>
      </c>
      <c r="T12" s="18">
        <v>0</v>
      </c>
      <c r="U12" s="16">
        <v>14</v>
      </c>
      <c r="V12" s="16">
        <v>14</v>
      </c>
      <c r="W12" s="18">
        <v>0</v>
      </c>
      <c r="X12" s="16">
        <v>13</v>
      </c>
      <c r="Y12" s="16">
        <v>13</v>
      </c>
      <c r="Z12" s="18">
        <v>13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18">
        <f>Z12</f>
        <v>13</v>
      </c>
    </row>
    <row r="13" spans="1:36" ht="50.1" customHeight="1" x14ac:dyDescent="0.25">
      <c r="A13" s="39">
        <v>2021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7">
        <v>23</v>
      </c>
      <c r="V13" s="16">
        <v>22</v>
      </c>
      <c r="W13" s="18">
        <v>0</v>
      </c>
      <c r="X13" s="16">
        <v>20</v>
      </c>
      <c r="Y13" s="16">
        <v>18</v>
      </c>
      <c r="Z13" s="18">
        <v>0</v>
      </c>
      <c r="AA13" s="16">
        <v>18</v>
      </c>
      <c r="AB13" s="16">
        <v>18</v>
      </c>
      <c r="AC13" s="18">
        <v>12</v>
      </c>
      <c r="AD13" s="16">
        <v>2</v>
      </c>
      <c r="AE13" s="16">
        <v>4</v>
      </c>
      <c r="AF13" s="18">
        <v>3</v>
      </c>
      <c r="AG13" s="20"/>
      <c r="AH13" s="20"/>
      <c r="AI13" s="20"/>
      <c r="AJ13" s="18">
        <v>15</v>
      </c>
    </row>
    <row r="14" spans="1:36" ht="50.1" customHeight="1" x14ac:dyDescent="0.25">
      <c r="A14" s="39">
        <v>2022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7">
        <v>16</v>
      </c>
      <c r="Y14" s="16">
        <v>12</v>
      </c>
      <c r="Z14" s="18">
        <v>0</v>
      </c>
      <c r="AA14" s="16">
        <v>12</v>
      </c>
      <c r="AB14" s="16">
        <v>12</v>
      </c>
      <c r="AC14" s="18">
        <v>0</v>
      </c>
      <c r="AD14" s="16">
        <v>12</v>
      </c>
      <c r="AE14" s="16">
        <v>12</v>
      </c>
      <c r="AF14" s="18">
        <v>6</v>
      </c>
      <c r="AG14" s="20"/>
      <c r="AH14" s="20"/>
      <c r="AI14" s="20"/>
      <c r="AJ14" s="18">
        <v>6</v>
      </c>
    </row>
    <row r="15" spans="1:36" ht="50.1" customHeight="1" x14ac:dyDescent="0.25">
      <c r="A15" s="39">
        <v>2023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17">
        <v>31</v>
      </c>
      <c r="AB15" s="16">
        <v>30</v>
      </c>
      <c r="AC15" s="18">
        <v>0</v>
      </c>
      <c r="AD15" s="16">
        <v>28</v>
      </c>
      <c r="AE15" s="16">
        <v>25</v>
      </c>
      <c r="AF15" s="18">
        <v>0</v>
      </c>
      <c r="AG15" s="20"/>
      <c r="AH15" s="20"/>
      <c r="AI15" s="20"/>
      <c r="AJ15" s="20"/>
    </row>
    <row r="16" spans="1:36" ht="50.1" customHeight="1" x14ac:dyDescent="0.25">
      <c r="A16" s="39">
        <v>2024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7">
        <v>12</v>
      </c>
      <c r="AE16" s="16">
        <v>11</v>
      </c>
      <c r="AF16" s="18">
        <v>0</v>
      </c>
      <c r="AG16" s="20"/>
      <c r="AH16" s="20"/>
      <c r="AI16" s="20"/>
      <c r="AJ16" s="20"/>
    </row>
    <row r="17" spans="1:36" ht="50.1" customHeight="1" x14ac:dyDescent="0.25">
      <c r="A17" s="39">
        <v>2025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17">
        <v>73</v>
      </c>
      <c r="AH17" s="50"/>
      <c r="AI17" s="18">
        <v>0</v>
      </c>
      <c r="AJ17" s="20"/>
    </row>
    <row r="18" spans="1:36" ht="50.1" customHeight="1" x14ac:dyDescent="0.25">
      <c r="A18" s="40" t="s">
        <v>8</v>
      </c>
      <c r="B18" s="21">
        <f t="shared" ref="B18:G18" si="0">SUM(B6:B11)</f>
        <v>5</v>
      </c>
      <c r="C18" s="21">
        <f t="shared" si="0"/>
        <v>3</v>
      </c>
      <c r="D18" s="21">
        <f t="shared" si="0"/>
        <v>16</v>
      </c>
      <c r="E18" s="21">
        <f t="shared" si="0"/>
        <v>15</v>
      </c>
      <c r="F18" s="21">
        <f t="shared" si="0"/>
        <v>40</v>
      </c>
      <c r="G18" s="21">
        <f t="shared" si="0"/>
        <v>40</v>
      </c>
      <c r="H18" s="18">
        <f>SUM(H6:H8)</f>
        <v>0</v>
      </c>
      <c r="I18" s="21">
        <f>SUM(I6:I9)</f>
        <v>54</v>
      </c>
      <c r="J18" s="21">
        <f>SUM(J6:J9)</f>
        <v>54</v>
      </c>
      <c r="K18" s="18">
        <f>SUM(K6:K9)</f>
        <v>7</v>
      </c>
      <c r="L18" s="21">
        <f>SUM(L7:L10)</f>
        <v>66</v>
      </c>
      <c r="M18" s="21">
        <f>SUM(M7:M10)</f>
        <v>59</v>
      </c>
      <c r="N18" s="18">
        <f>SUM(N7:N10)</f>
        <v>12</v>
      </c>
      <c r="O18" s="21">
        <f>SUM(O8:O11)</f>
        <v>53</v>
      </c>
      <c r="P18" s="21">
        <f>SUM(P8:P11)</f>
        <v>51</v>
      </c>
      <c r="Q18" s="18">
        <f>SUM(Q8:Q11)</f>
        <v>13</v>
      </c>
      <c r="R18" s="21">
        <f>SUM(R8:R12)</f>
        <v>57</v>
      </c>
      <c r="S18" s="21">
        <f>SUM(S9:S12)</f>
        <v>50</v>
      </c>
      <c r="T18" s="18">
        <f>SUM(T9:T12)</f>
        <v>20</v>
      </c>
      <c r="U18" s="21">
        <f>SUM(U11:U13)</f>
        <v>49</v>
      </c>
      <c r="V18" s="21">
        <f>SUM(V11:V13)</f>
        <v>48</v>
      </c>
      <c r="W18" s="18">
        <f>SUM(W11:W13)</f>
        <v>10</v>
      </c>
      <c r="X18" s="21">
        <f>SUM(X11:X14)</f>
        <v>49</v>
      </c>
      <c r="Y18" s="21">
        <f>SUM(Y11:Y14)</f>
        <v>44</v>
      </c>
      <c r="Z18" s="18">
        <f>SUM(Z11:Z14)</f>
        <v>14</v>
      </c>
      <c r="AA18" s="21">
        <f>SUM(AA13:AA15)</f>
        <v>61</v>
      </c>
      <c r="AB18" s="21">
        <f>SUM(AB13:AB15)</f>
        <v>60</v>
      </c>
      <c r="AC18" s="18">
        <f>SUM(AC13:AC15)</f>
        <v>12</v>
      </c>
      <c r="AD18" s="21">
        <f>SUM(AD13:AD16)</f>
        <v>54</v>
      </c>
      <c r="AE18" s="21">
        <f>SUM(AE13:AE16)</f>
        <v>52</v>
      </c>
      <c r="AF18" s="18">
        <f>SUM(AF13:AF16)</f>
        <v>9</v>
      </c>
      <c r="AG18" s="21">
        <f>SUM(AG17)</f>
        <v>73</v>
      </c>
      <c r="AH18" s="21"/>
      <c r="AI18" s="18"/>
      <c r="AJ18" s="18">
        <f>SUM(AJ6:AJ14)</f>
        <v>97</v>
      </c>
    </row>
    <row r="19" spans="1:36" ht="24.95" customHeight="1" x14ac:dyDescent="0.25"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6" ht="21" x14ac:dyDescent="0.35">
      <c r="A20" s="13" t="s">
        <v>16</v>
      </c>
      <c r="B20" s="14"/>
    </row>
    <row r="21" spans="1:36" ht="21" x14ac:dyDescent="0.35">
      <c r="A21" s="7"/>
      <c r="B21" s="14" t="s">
        <v>28</v>
      </c>
    </row>
    <row r="22" spans="1:36" ht="21" x14ac:dyDescent="0.25">
      <c r="A22" s="3"/>
      <c r="B22" s="15" t="s">
        <v>18</v>
      </c>
    </row>
    <row r="23" spans="1:36" ht="21" x14ac:dyDescent="0.25">
      <c r="A23" s="2"/>
      <c r="B23" s="15" t="s">
        <v>17</v>
      </c>
    </row>
  </sheetData>
  <mergeCells count="4">
    <mergeCell ref="A1:AJ1"/>
    <mergeCell ref="A4:A5"/>
    <mergeCell ref="AJ4:AJ5"/>
    <mergeCell ref="B4:AI4"/>
  </mergeCells>
  <pageMargins left="0.45" right="0.45" top="0.75" bottom="0.75" header="0.3" footer="0.3"/>
  <pageSetup paperSize="9" scale="4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3"/>
  <sheetViews>
    <sheetView tabSelected="1" topLeftCell="A7" zoomScale="60" zoomScaleNormal="60" workbookViewId="0">
      <pane xSplit="1" topLeftCell="B1" activePane="topRight" state="frozen"/>
      <selection pane="topRight" activeCell="AG19" sqref="AG19"/>
    </sheetView>
  </sheetViews>
  <sheetFormatPr defaultRowHeight="15" x14ac:dyDescent="0.25"/>
  <cols>
    <col min="1" max="1" width="12.140625" customWidth="1"/>
    <col min="2" max="35" width="10.7109375" customWidth="1"/>
    <col min="36" max="36" width="14.5703125" customWidth="1"/>
  </cols>
  <sheetData>
    <row r="1" spans="1:36" ht="31.5" x14ac:dyDescent="0.25">
      <c r="A1" s="58" t="s">
        <v>25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</row>
    <row r="2" spans="1:3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4" spans="1:36" ht="50.1" customHeight="1" x14ac:dyDescent="0.25">
      <c r="A4" s="52" t="s">
        <v>19</v>
      </c>
      <c r="B4" s="54" t="s">
        <v>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53" t="s">
        <v>15</v>
      </c>
    </row>
    <row r="5" spans="1:36" ht="50.1" customHeight="1" x14ac:dyDescent="0.25">
      <c r="A5" s="52"/>
      <c r="B5" s="31" t="s">
        <v>13</v>
      </c>
      <c r="C5" s="31" t="s">
        <v>14</v>
      </c>
      <c r="D5" s="31" t="s">
        <v>12</v>
      </c>
      <c r="E5" s="31" t="s">
        <v>11</v>
      </c>
      <c r="F5" s="31" t="s">
        <v>9</v>
      </c>
      <c r="G5" s="31" t="s">
        <v>10</v>
      </c>
      <c r="H5" s="32" t="s">
        <v>4</v>
      </c>
      <c r="I5" s="31" t="s">
        <v>5</v>
      </c>
      <c r="J5" s="31" t="s">
        <v>6</v>
      </c>
      <c r="K5" s="32" t="s">
        <v>4</v>
      </c>
      <c r="L5" s="31" t="s">
        <v>1</v>
      </c>
      <c r="M5" s="31" t="s">
        <v>2</v>
      </c>
      <c r="N5" s="32" t="s">
        <v>4</v>
      </c>
      <c r="O5" s="31" t="s">
        <v>3</v>
      </c>
      <c r="P5" s="30" t="s">
        <v>20</v>
      </c>
      <c r="Q5" s="33" t="s">
        <v>4</v>
      </c>
      <c r="R5" s="30" t="s">
        <v>21</v>
      </c>
      <c r="S5" s="30" t="s">
        <v>27</v>
      </c>
      <c r="T5" s="33" t="s">
        <v>4</v>
      </c>
      <c r="U5" s="30" t="s">
        <v>34</v>
      </c>
      <c r="V5" s="30" t="s">
        <v>35</v>
      </c>
      <c r="W5" s="33" t="s">
        <v>4</v>
      </c>
      <c r="X5" s="30" t="s">
        <v>36</v>
      </c>
      <c r="Y5" s="30" t="s">
        <v>37</v>
      </c>
      <c r="Z5" s="33" t="s">
        <v>4</v>
      </c>
      <c r="AA5" s="30" t="s">
        <v>38</v>
      </c>
      <c r="AB5" s="30" t="s">
        <v>49</v>
      </c>
      <c r="AC5" s="33" t="s">
        <v>4</v>
      </c>
      <c r="AD5" s="30" t="s">
        <v>51</v>
      </c>
      <c r="AE5" s="27" t="s">
        <v>52</v>
      </c>
      <c r="AF5" s="46" t="s">
        <v>4</v>
      </c>
      <c r="AG5" s="48" t="s">
        <v>53</v>
      </c>
      <c r="AH5" s="48" t="s">
        <v>54</v>
      </c>
      <c r="AI5" s="49" t="s">
        <v>4</v>
      </c>
      <c r="AJ5" s="53"/>
    </row>
    <row r="6" spans="1:36" ht="50.1" customHeight="1" x14ac:dyDescent="0.25">
      <c r="A6" s="36">
        <v>2014</v>
      </c>
      <c r="B6" s="17">
        <v>10</v>
      </c>
      <c r="C6" s="16">
        <v>8</v>
      </c>
      <c r="D6" s="16">
        <v>8</v>
      </c>
      <c r="E6" s="16">
        <v>8</v>
      </c>
      <c r="F6" s="16">
        <v>7</v>
      </c>
      <c r="G6" s="16">
        <v>7</v>
      </c>
      <c r="H6" s="18">
        <v>0</v>
      </c>
      <c r="I6" s="16">
        <v>7</v>
      </c>
      <c r="J6" s="16">
        <v>7</v>
      </c>
      <c r="K6" s="18">
        <v>7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8">
        <f>H6+K6</f>
        <v>7</v>
      </c>
    </row>
    <row r="7" spans="1:36" ht="50.1" customHeight="1" x14ac:dyDescent="0.25">
      <c r="A7" s="36">
        <v>2015</v>
      </c>
      <c r="B7" s="20"/>
      <c r="C7" s="20"/>
      <c r="D7" s="17">
        <v>42</v>
      </c>
      <c r="E7" s="16">
        <v>39</v>
      </c>
      <c r="F7" s="16">
        <v>38</v>
      </c>
      <c r="G7" s="16">
        <v>38</v>
      </c>
      <c r="H7" s="18">
        <v>0</v>
      </c>
      <c r="I7" s="16">
        <v>38</v>
      </c>
      <c r="J7" s="16">
        <v>36</v>
      </c>
      <c r="K7" s="18">
        <v>28</v>
      </c>
      <c r="L7" s="16">
        <v>5</v>
      </c>
      <c r="M7" s="16">
        <v>5</v>
      </c>
      <c r="N7" s="18">
        <v>2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18">
        <f>K7+N7</f>
        <v>30</v>
      </c>
    </row>
    <row r="8" spans="1:36" ht="50.1" customHeight="1" x14ac:dyDescent="0.25">
      <c r="A8" s="36">
        <v>2016</v>
      </c>
      <c r="B8" s="20"/>
      <c r="C8" s="20"/>
      <c r="D8" s="20"/>
      <c r="E8" s="20"/>
      <c r="F8" s="17">
        <v>44</v>
      </c>
      <c r="G8" s="16">
        <v>44</v>
      </c>
      <c r="H8" s="18">
        <v>0</v>
      </c>
      <c r="I8" s="16">
        <v>44</v>
      </c>
      <c r="J8" s="16">
        <v>44</v>
      </c>
      <c r="K8" s="18">
        <v>0</v>
      </c>
      <c r="L8" s="16">
        <v>39</v>
      </c>
      <c r="M8" s="16">
        <v>39</v>
      </c>
      <c r="N8" s="18">
        <v>10</v>
      </c>
      <c r="O8" s="16">
        <v>1</v>
      </c>
      <c r="P8" s="16">
        <v>1</v>
      </c>
      <c r="Q8" s="18">
        <v>1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8">
        <f>H8+K8+N8+Q8</f>
        <v>11</v>
      </c>
    </row>
    <row r="9" spans="1:36" ht="50.1" customHeight="1" x14ac:dyDescent="0.25">
      <c r="A9" s="36">
        <v>2017</v>
      </c>
      <c r="B9" s="20"/>
      <c r="C9" s="20"/>
      <c r="D9" s="20"/>
      <c r="E9" s="20"/>
      <c r="F9" s="20"/>
      <c r="G9" s="20"/>
      <c r="H9" s="20"/>
      <c r="I9" s="17">
        <v>11</v>
      </c>
      <c r="J9" s="16">
        <v>11</v>
      </c>
      <c r="K9" s="18">
        <v>0</v>
      </c>
      <c r="L9" s="16">
        <v>10</v>
      </c>
      <c r="M9" s="16">
        <v>10</v>
      </c>
      <c r="N9" s="18">
        <v>0</v>
      </c>
      <c r="O9" s="16">
        <v>9</v>
      </c>
      <c r="P9" s="16">
        <v>9</v>
      </c>
      <c r="Q9" s="18">
        <v>9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18">
        <v>9</v>
      </c>
    </row>
    <row r="10" spans="1:36" ht="50.1" customHeight="1" x14ac:dyDescent="0.25">
      <c r="A10" s="36">
        <v>2018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7">
        <v>18</v>
      </c>
      <c r="M10" s="16">
        <v>18</v>
      </c>
      <c r="N10" s="18">
        <v>0</v>
      </c>
      <c r="O10" s="16">
        <v>16</v>
      </c>
      <c r="P10" s="16">
        <v>16</v>
      </c>
      <c r="Q10" s="18">
        <v>0</v>
      </c>
      <c r="R10" s="16">
        <v>16</v>
      </c>
      <c r="S10" s="16">
        <v>12</v>
      </c>
      <c r="T10" s="18">
        <v>11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18">
        <v>11</v>
      </c>
    </row>
    <row r="11" spans="1:36" ht="50.1" customHeight="1" x14ac:dyDescent="0.25">
      <c r="A11" s="36">
        <v>2019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7">
        <v>19</v>
      </c>
      <c r="P11" s="16">
        <v>19</v>
      </c>
      <c r="Q11" s="18">
        <v>0</v>
      </c>
      <c r="R11" s="16">
        <v>19</v>
      </c>
      <c r="S11" s="16">
        <v>18</v>
      </c>
      <c r="T11" s="18">
        <v>0</v>
      </c>
      <c r="U11" s="16">
        <v>18</v>
      </c>
      <c r="V11" s="16">
        <v>17</v>
      </c>
      <c r="W11" s="18">
        <v>14</v>
      </c>
      <c r="X11" s="16">
        <v>0</v>
      </c>
      <c r="Y11" s="16">
        <v>1</v>
      </c>
      <c r="Z11" s="18">
        <v>0</v>
      </c>
      <c r="AA11" s="16">
        <v>0</v>
      </c>
      <c r="AB11" s="16">
        <v>1</v>
      </c>
      <c r="AC11" s="18">
        <v>1</v>
      </c>
      <c r="AD11" s="20"/>
      <c r="AE11" s="20"/>
      <c r="AF11" s="20"/>
      <c r="AG11" s="20"/>
      <c r="AH11" s="20"/>
      <c r="AI11" s="20"/>
      <c r="AJ11" s="18">
        <v>15</v>
      </c>
    </row>
    <row r="12" spans="1:36" ht="50.1" customHeight="1" x14ac:dyDescent="0.25">
      <c r="A12" s="36">
        <v>2020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7">
        <v>18</v>
      </c>
      <c r="S12" s="16">
        <v>16</v>
      </c>
      <c r="T12" s="18">
        <v>0</v>
      </c>
      <c r="U12" s="16">
        <v>16</v>
      </c>
      <c r="V12" s="16">
        <v>16</v>
      </c>
      <c r="W12" s="18">
        <v>0</v>
      </c>
      <c r="X12" s="16">
        <v>15</v>
      </c>
      <c r="Y12" s="16">
        <v>13</v>
      </c>
      <c r="Z12" s="18">
        <v>7</v>
      </c>
      <c r="AA12" s="16">
        <v>1</v>
      </c>
      <c r="AB12" s="16">
        <v>6</v>
      </c>
      <c r="AC12" s="18">
        <v>3</v>
      </c>
      <c r="AD12" s="16">
        <v>1</v>
      </c>
      <c r="AE12" s="16">
        <v>1</v>
      </c>
      <c r="AF12" s="18">
        <v>1</v>
      </c>
      <c r="AG12" s="20"/>
      <c r="AH12" s="20"/>
      <c r="AI12" s="20"/>
      <c r="AJ12" s="18">
        <f>Z12+AC12+AF12</f>
        <v>11</v>
      </c>
    </row>
    <row r="13" spans="1:36" ht="50.1" customHeight="1" x14ac:dyDescent="0.25">
      <c r="A13" s="37">
        <v>2021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7">
        <v>12</v>
      </c>
      <c r="V13" s="16">
        <v>12</v>
      </c>
      <c r="W13" s="18">
        <v>0</v>
      </c>
      <c r="X13" s="16">
        <v>12</v>
      </c>
      <c r="Y13" s="16">
        <v>12</v>
      </c>
      <c r="Z13" s="18">
        <v>0</v>
      </c>
      <c r="AA13" s="16">
        <v>12</v>
      </c>
      <c r="AB13" s="16">
        <v>11</v>
      </c>
      <c r="AC13" s="18">
        <v>9</v>
      </c>
      <c r="AD13" s="16">
        <v>0</v>
      </c>
      <c r="AE13" s="16">
        <v>2</v>
      </c>
      <c r="AF13" s="18">
        <v>2</v>
      </c>
      <c r="AG13" s="20"/>
      <c r="AH13" s="20"/>
      <c r="AI13" s="20"/>
      <c r="AJ13" s="18">
        <f>AC13+AF13</f>
        <v>11</v>
      </c>
    </row>
    <row r="14" spans="1:36" ht="50.1" customHeight="1" x14ac:dyDescent="0.25">
      <c r="A14" s="37">
        <v>2022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7">
        <v>12</v>
      </c>
      <c r="Y14" s="16">
        <v>8</v>
      </c>
      <c r="Z14" s="18">
        <v>0</v>
      </c>
      <c r="AA14" s="16">
        <v>7</v>
      </c>
      <c r="AB14" s="16">
        <v>6</v>
      </c>
      <c r="AC14" s="18">
        <v>0</v>
      </c>
      <c r="AD14" s="16">
        <v>7</v>
      </c>
      <c r="AE14" s="16">
        <v>7</v>
      </c>
      <c r="AF14" s="18">
        <v>6</v>
      </c>
      <c r="AG14" s="20"/>
      <c r="AH14" s="20"/>
      <c r="AI14" s="20"/>
      <c r="AJ14" s="18">
        <v>6</v>
      </c>
    </row>
    <row r="15" spans="1:36" ht="50.1" customHeight="1" x14ac:dyDescent="0.25">
      <c r="A15" s="37">
        <v>2023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17">
        <v>19</v>
      </c>
      <c r="AB15" s="16">
        <v>17</v>
      </c>
      <c r="AC15" s="18">
        <v>0</v>
      </c>
      <c r="AD15" s="16">
        <v>17</v>
      </c>
      <c r="AE15" s="16">
        <v>15</v>
      </c>
      <c r="AF15" s="18">
        <v>0</v>
      </c>
      <c r="AG15" s="20"/>
      <c r="AH15" s="20"/>
      <c r="AI15" s="20"/>
      <c r="AJ15" s="20"/>
    </row>
    <row r="16" spans="1:36" ht="50.1" customHeight="1" x14ac:dyDescent="0.25">
      <c r="A16" s="37">
        <v>2024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7">
        <v>23</v>
      </c>
      <c r="AE16" s="16">
        <v>22</v>
      </c>
      <c r="AF16" s="18">
        <v>0</v>
      </c>
      <c r="AG16" s="20"/>
      <c r="AH16" s="20"/>
      <c r="AI16" s="20"/>
      <c r="AJ16" s="20"/>
    </row>
    <row r="17" spans="1:36" ht="50.1" customHeight="1" x14ac:dyDescent="0.25">
      <c r="A17" s="37">
        <v>2025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17">
        <v>59</v>
      </c>
      <c r="AH17" s="50"/>
      <c r="AI17" s="18"/>
      <c r="AJ17" s="20"/>
    </row>
    <row r="18" spans="1:36" ht="50.1" customHeight="1" x14ac:dyDescent="0.25">
      <c r="A18" s="38" t="s">
        <v>8</v>
      </c>
      <c r="B18" s="21">
        <f t="shared" ref="B18:G18" si="0">SUM(B6:B11)</f>
        <v>10</v>
      </c>
      <c r="C18" s="21">
        <f t="shared" si="0"/>
        <v>8</v>
      </c>
      <c r="D18" s="21">
        <f t="shared" si="0"/>
        <v>50</v>
      </c>
      <c r="E18" s="21">
        <f t="shared" si="0"/>
        <v>47</v>
      </c>
      <c r="F18" s="21">
        <f t="shared" si="0"/>
        <v>89</v>
      </c>
      <c r="G18" s="21">
        <f t="shared" si="0"/>
        <v>89</v>
      </c>
      <c r="H18" s="18">
        <f>SUM(H6:H8)</f>
        <v>0</v>
      </c>
      <c r="I18" s="21">
        <f>SUM(I6:I9)</f>
        <v>100</v>
      </c>
      <c r="J18" s="21">
        <f>SUM(J6:J9)</f>
        <v>98</v>
      </c>
      <c r="K18" s="18">
        <f>SUM(K6:K9)</f>
        <v>35</v>
      </c>
      <c r="L18" s="21">
        <f>SUM(L7:L10)</f>
        <v>72</v>
      </c>
      <c r="M18" s="21">
        <f>SUM(M7:M10)</f>
        <v>72</v>
      </c>
      <c r="N18" s="18">
        <f>SUM(N7:N10)</f>
        <v>12</v>
      </c>
      <c r="O18" s="21">
        <f>SUM(O8:O11)</f>
        <v>45</v>
      </c>
      <c r="P18" s="21">
        <f>SUM(P8:P11)</f>
        <v>45</v>
      </c>
      <c r="Q18" s="18">
        <f>SUM(Q8:Q11)</f>
        <v>10</v>
      </c>
      <c r="R18" s="21">
        <f>SUM(R10:R12)</f>
        <v>53</v>
      </c>
      <c r="S18" s="21">
        <f>SUM(S10:S12)</f>
        <v>46</v>
      </c>
      <c r="T18" s="18">
        <f>SUM(T10:T12)</f>
        <v>11</v>
      </c>
      <c r="U18" s="21">
        <f>SUM(U11:U13)</f>
        <v>46</v>
      </c>
      <c r="V18" s="21">
        <f>SUM(V11:V13)</f>
        <v>45</v>
      </c>
      <c r="W18" s="18">
        <f>SUM(W11:W13)</f>
        <v>14</v>
      </c>
      <c r="X18" s="21">
        <f>SUM(X11:X14)</f>
        <v>39</v>
      </c>
      <c r="Y18" s="21">
        <f>SUM(Y11:Y14)</f>
        <v>34</v>
      </c>
      <c r="Z18" s="18">
        <f>SUM(Z11:Z14)</f>
        <v>7</v>
      </c>
      <c r="AA18" s="21">
        <f>SUM(AA12:AA15)</f>
        <v>39</v>
      </c>
      <c r="AB18" s="21">
        <f>SUM(AB11:AB15)</f>
        <v>41</v>
      </c>
      <c r="AC18" s="18">
        <f>SUM(AC11:AC15)</f>
        <v>13</v>
      </c>
      <c r="AD18" s="21">
        <f>SUM(AD12:AD16)</f>
        <v>48</v>
      </c>
      <c r="AE18" s="21">
        <f>SUM(AE12:AE16)</f>
        <v>47</v>
      </c>
      <c r="AF18" s="18">
        <f>SUM(AF12:AF16)</f>
        <v>9</v>
      </c>
      <c r="AG18" s="21">
        <f>SUM(AG17)</f>
        <v>59</v>
      </c>
      <c r="AH18" s="21"/>
      <c r="AI18" s="18"/>
      <c r="AJ18" s="18">
        <f>SUM(AJ6:AJ14)</f>
        <v>111</v>
      </c>
    </row>
    <row r="19" spans="1:36" ht="24.95" customHeight="1" x14ac:dyDescent="0.25"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6" ht="21" x14ac:dyDescent="0.35">
      <c r="A20" s="13" t="s">
        <v>16</v>
      </c>
      <c r="B20" s="14"/>
      <c r="C20" s="14"/>
    </row>
    <row r="21" spans="1:36" ht="21" x14ac:dyDescent="0.35">
      <c r="A21" s="7"/>
      <c r="B21" s="14" t="s">
        <v>28</v>
      </c>
      <c r="C21" s="14"/>
    </row>
    <row r="22" spans="1:36" ht="21" x14ac:dyDescent="0.35">
      <c r="A22" s="3"/>
      <c r="B22" s="15" t="s">
        <v>18</v>
      </c>
      <c r="C22" s="14"/>
    </row>
    <row r="23" spans="1:36" ht="21" x14ac:dyDescent="0.35">
      <c r="A23" s="2"/>
      <c r="B23" s="15" t="s">
        <v>17</v>
      </c>
      <c r="C23" s="14"/>
    </row>
  </sheetData>
  <mergeCells count="4">
    <mergeCell ref="A1:AJ1"/>
    <mergeCell ref="A4:A5"/>
    <mergeCell ref="AJ4:AJ5"/>
    <mergeCell ref="B4:AI4"/>
  </mergeCells>
  <pageMargins left="0.45" right="0.45" top="0.75" bottom="0.75" header="0.3" footer="0.3"/>
  <pageSetup paperSize="9" scale="4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3"/>
  <sheetViews>
    <sheetView topLeftCell="A5" zoomScale="57" zoomScaleNormal="57" workbookViewId="0">
      <pane xSplit="1" topLeftCell="B1" activePane="topRight" state="frozen"/>
      <selection pane="topRight" activeCell="AG16" sqref="AG16"/>
    </sheetView>
  </sheetViews>
  <sheetFormatPr defaultRowHeight="15" x14ac:dyDescent="0.25"/>
  <cols>
    <col min="1" max="1" width="11.7109375" customWidth="1"/>
    <col min="2" max="35" width="10.7109375" customWidth="1"/>
    <col min="36" max="36" width="13.85546875" customWidth="1"/>
  </cols>
  <sheetData>
    <row r="1" spans="1:36" ht="31.5" x14ac:dyDescent="0.25">
      <c r="A1" s="58" t="s">
        <v>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</row>
    <row r="2" spans="1:3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4" spans="1:36" ht="50.1" customHeight="1" x14ac:dyDescent="0.25">
      <c r="A4" s="52" t="s">
        <v>19</v>
      </c>
      <c r="B4" s="54" t="s">
        <v>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53" t="s">
        <v>15</v>
      </c>
    </row>
    <row r="5" spans="1:36" ht="50.1" customHeight="1" x14ac:dyDescent="0.25">
      <c r="A5" s="52"/>
      <c r="B5" s="12" t="s">
        <v>13</v>
      </c>
      <c r="C5" s="12" t="s">
        <v>14</v>
      </c>
      <c r="D5" s="12" t="s">
        <v>12</v>
      </c>
      <c r="E5" s="12" t="s">
        <v>11</v>
      </c>
      <c r="F5" s="12" t="s">
        <v>9</v>
      </c>
      <c r="G5" s="12" t="s">
        <v>10</v>
      </c>
      <c r="H5" s="4" t="s">
        <v>4</v>
      </c>
      <c r="I5" s="12" t="s">
        <v>5</v>
      </c>
      <c r="J5" s="12" t="s">
        <v>6</v>
      </c>
      <c r="K5" s="4" t="s">
        <v>4</v>
      </c>
      <c r="L5" s="12" t="s">
        <v>1</v>
      </c>
      <c r="M5" s="12" t="s">
        <v>2</v>
      </c>
      <c r="N5" s="4" t="s">
        <v>4</v>
      </c>
      <c r="O5" s="12" t="s">
        <v>3</v>
      </c>
      <c r="P5" s="5" t="s">
        <v>20</v>
      </c>
      <c r="Q5" s="6" t="s">
        <v>4</v>
      </c>
      <c r="R5" s="5" t="s">
        <v>21</v>
      </c>
      <c r="S5" s="12" t="s">
        <v>27</v>
      </c>
      <c r="T5" s="6" t="s">
        <v>4</v>
      </c>
      <c r="U5" s="28" t="s">
        <v>34</v>
      </c>
      <c r="V5" s="28" t="s">
        <v>35</v>
      </c>
      <c r="W5" s="6" t="s">
        <v>4</v>
      </c>
      <c r="X5" s="28" t="s">
        <v>36</v>
      </c>
      <c r="Y5" s="35" t="s">
        <v>37</v>
      </c>
      <c r="Z5" s="6" t="s">
        <v>4</v>
      </c>
      <c r="AA5" s="28" t="s">
        <v>38</v>
      </c>
      <c r="AB5" s="28" t="s">
        <v>49</v>
      </c>
      <c r="AC5" s="6" t="s">
        <v>4</v>
      </c>
      <c r="AD5" s="28" t="s">
        <v>51</v>
      </c>
      <c r="AE5" s="27" t="s">
        <v>52</v>
      </c>
      <c r="AF5" s="46" t="s">
        <v>4</v>
      </c>
      <c r="AG5" s="48" t="s">
        <v>53</v>
      </c>
      <c r="AH5" s="48" t="s">
        <v>54</v>
      </c>
      <c r="AI5" s="49" t="s">
        <v>4</v>
      </c>
      <c r="AJ5" s="53"/>
    </row>
    <row r="6" spans="1:36" ht="50.1" customHeight="1" x14ac:dyDescent="0.25">
      <c r="A6" s="36">
        <v>2014</v>
      </c>
      <c r="B6" s="17">
        <v>3</v>
      </c>
      <c r="C6" s="16">
        <v>2</v>
      </c>
      <c r="D6" s="16">
        <v>2</v>
      </c>
      <c r="E6" s="16">
        <v>1</v>
      </c>
      <c r="F6" s="16">
        <v>1</v>
      </c>
      <c r="G6" s="16">
        <v>1</v>
      </c>
      <c r="H6" s="18">
        <v>0</v>
      </c>
      <c r="I6" s="16">
        <v>1</v>
      </c>
      <c r="J6" s="16">
        <v>1</v>
      </c>
      <c r="K6" s="18">
        <v>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8">
        <v>1</v>
      </c>
    </row>
    <row r="7" spans="1:36" ht="50.1" customHeight="1" x14ac:dyDescent="0.25">
      <c r="A7" s="36">
        <v>2015</v>
      </c>
      <c r="B7" s="20"/>
      <c r="C7" s="20"/>
      <c r="D7" s="17">
        <v>6</v>
      </c>
      <c r="E7" s="16">
        <v>5</v>
      </c>
      <c r="F7" s="16">
        <v>3</v>
      </c>
      <c r="G7" s="16">
        <v>3</v>
      </c>
      <c r="H7" s="18">
        <v>0</v>
      </c>
      <c r="I7" s="16">
        <v>3</v>
      </c>
      <c r="J7" s="16">
        <v>3</v>
      </c>
      <c r="K7" s="18">
        <v>3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18">
        <f>K7</f>
        <v>3</v>
      </c>
    </row>
    <row r="8" spans="1:36" ht="50.1" customHeight="1" x14ac:dyDescent="0.25">
      <c r="A8" s="36">
        <v>2016</v>
      </c>
      <c r="B8" s="20"/>
      <c r="C8" s="20"/>
      <c r="D8" s="20"/>
      <c r="E8" s="20"/>
      <c r="F8" s="17">
        <v>14</v>
      </c>
      <c r="G8" s="16">
        <v>12</v>
      </c>
      <c r="H8" s="18">
        <v>0</v>
      </c>
      <c r="I8" s="16">
        <v>10</v>
      </c>
      <c r="J8" s="16">
        <v>10</v>
      </c>
      <c r="K8" s="18">
        <v>0</v>
      </c>
      <c r="L8" s="16">
        <v>10</v>
      </c>
      <c r="M8" s="16">
        <v>9</v>
      </c>
      <c r="N8" s="18">
        <v>8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8">
        <f>N8</f>
        <v>8</v>
      </c>
    </row>
    <row r="9" spans="1:36" ht="50.1" customHeight="1" x14ac:dyDescent="0.25">
      <c r="A9" s="36">
        <v>2017</v>
      </c>
      <c r="B9" s="20"/>
      <c r="C9" s="20"/>
      <c r="D9" s="20"/>
      <c r="E9" s="20"/>
      <c r="F9" s="20"/>
      <c r="G9" s="20"/>
      <c r="H9" s="20"/>
      <c r="I9" s="17">
        <v>7</v>
      </c>
      <c r="J9" s="16">
        <v>6</v>
      </c>
      <c r="K9" s="18">
        <v>0</v>
      </c>
      <c r="L9" s="16">
        <v>5</v>
      </c>
      <c r="M9" s="16">
        <v>4</v>
      </c>
      <c r="N9" s="18">
        <v>0</v>
      </c>
      <c r="O9" s="16">
        <v>4</v>
      </c>
      <c r="P9" s="16">
        <v>3</v>
      </c>
      <c r="Q9" s="18">
        <v>3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18">
        <v>3</v>
      </c>
    </row>
    <row r="10" spans="1:36" ht="50.1" customHeight="1" x14ac:dyDescent="0.25">
      <c r="A10" s="36">
        <v>2018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7">
        <v>8</v>
      </c>
      <c r="M10" s="16">
        <v>8</v>
      </c>
      <c r="N10" s="18">
        <v>0</v>
      </c>
      <c r="O10" s="16">
        <v>8</v>
      </c>
      <c r="P10" s="16">
        <v>8</v>
      </c>
      <c r="Q10" s="18">
        <v>0</v>
      </c>
      <c r="R10" s="16">
        <v>8</v>
      </c>
      <c r="S10" s="16">
        <v>8</v>
      </c>
      <c r="T10" s="18">
        <v>8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18">
        <v>8</v>
      </c>
    </row>
    <row r="11" spans="1:36" ht="50.1" customHeight="1" x14ac:dyDescent="0.25">
      <c r="A11" s="36">
        <v>2019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7">
        <v>4</v>
      </c>
      <c r="P11" s="16">
        <v>4</v>
      </c>
      <c r="Q11" s="18">
        <v>0</v>
      </c>
      <c r="R11" s="16">
        <v>3</v>
      </c>
      <c r="S11" s="16">
        <v>3</v>
      </c>
      <c r="T11" s="18">
        <v>0</v>
      </c>
      <c r="U11" s="16">
        <v>3</v>
      </c>
      <c r="V11" s="16">
        <v>3</v>
      </c>
      <c r="W11" s="18">
        <v>3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18">
        <v>3</v>
      </c>
    </row>
    <row r="12" spans="1:36" ht="50.1" customHeight="1" x14ac:dyDescent="0.25">
      <c r="A12" s="36">
        <v>2020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7">
        <v>18</v>
      </c>
      <c r="S12" s="16">
        <v>14</v>
      </c>
      <c r="T12" s="18">
        <v>0</v>
      </c>
      <c r="U12" s="16">
        <v>10</v>
      </c>
      <c r="V12" s="16">
        <v>9</v>
      </c>
      <c r="W12" s="18">
        <v>0</v>
      </c>
      <c r="X12" s="16">
        <v>9</v>
      </c>
      <c r="Y12" s="16">
        <v>8</v>
      </c>
      <c r="Z12" s="18">
        <v>7</v>
      </c>
      <c r="AA12" s="16">
        <v>1</v>
      </c>
      <c r="AB12" s="16">
        <v>1</v>
      </c>
      <c r="AC12" s="18">
        <v>1</v>
      </c>
      <c r="AD12" s="20"/>
      <c r="AE12" s="20"/>
      <c r="AF12" s="20"/>
      <c r="AG12" s="20"/>
      <c r="AH12" s="20"/>
      <c r="AI12" s="20"/>
      <c r="AJ12" s="18">
        <v>8</v>
      </c>
    </row>
    <row r="13" spans="1:36" ht="50.1" customHeight="1" x14ac:dyDescent="0.25">
      <c r="A13" s="37">
        <v>2021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7">
        <v>11</v>
      </c>
      <c r="V13" s="16">
        <v>9</v>
      </c>
      <c r="W13" s="18">
        <v>0</v>
      </c>
      <c r="X13" s="16">
        <v>9</v>
      </c>
      <c r="Y13" s="16">
        <v>9</v>
      </c>
      <c r="Z13" s="18">
        <v>0</v>
      </c>
      <c r="AA13" s="16">
        <v>9</v>
      </c>
      <c r="AB13" s="16">
        <v>8</v>
      </c>
      <c r="AC13" s="18">
        <v>6</v>
      </c>
      <c r="AD13" s="16">
        <v>0</v>
      </c>
      <c r="AE13" s="16">
        <v>0</v>
      </c>
      <c r="AF13" s="18">
        <v>0</v>
      </c>
      <c r="AG13" s="20"/>
      <c r="AH13" s="20"/>
      <c r="AI13" s="20"/>
      <c r="AJ13" s="18">
        <v>6</v>
      </c>
    </row>
    <row r="14" spans="1:36" ht="50.1" customHeight="1" x14ac:dyDescent="0.25">
      <c r="A14" s="37">
        <v>2022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7">
        <v>9</v>
      </c>
      <c r="Y14" s="16">
        <v>9</v>
      </c>
      <c r="Z14" s="18">
        <v>0</v>
      </c>
      <c r="AA14" s="16">
        <v>9</v>
      </c>
      <c r="AB14" s="16">
        <v>9</v>
      </c>
      <c r="AC14" s="18">
        <v>0</v>
      </c>
      <c r="AD14" s="16">
        <v>9</v>
      </c>
      <c r="AE14" s="16">
        <v>6</v>
      </c>
      <c r="AF14" s="18">
        <v>6</v>
      </c>
      <c r="AG14" s="50">
        <v>1</v>
      </c>
      <c r="AH14" s="50">
        <v>1</v>
      </c>
      <c r="AI14" s="18">
        <v>0</v>
      </c>
      <c r="AJ14" s="18">
        <v>6</v>
      </c>
    </row>
    <row r="15" spans="1:36" ht="50.1" customHeight="1" x14ac:dyDescent="0.25">
      <c r="A15" s="37">
        <v>2023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17">
        <v>3</v>
      </c>
      <c r="AB15" s="16">
        <v>2</v>
      </c>
      <c r="AC15" s="18">
        <v>0</v>
      </c>
      <c r="AD15" s="16">
        <v>2</v>
      </c>
      <c r="AE15" s="16">
        <v>2</v>
      </c>
      <c r="AF15" s="18">
        <v>0</v>
      </c>
      <c r="AG15" s="50">
        <v>2</v>
      </c>
      <c r="AH15" s="50">
        <v>1</v>
      </c>
      <c r="AI15" s="18">
        <v>0</v>
      </c>
      <c r="AJ15" s="20"/>
    </row>
    <row r="16" spans="1:36" ht="50.1" customHeight="1" x14ac:dyDescent="0.25">
      <c r="A16" s="37">
        <v>2024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7">
        <v>8</v>
      </c>
      <c r="AE16" s="16">
        <v>7</v>
      </c>
      <c r="AF16" s="18">
        <v>0</v>
      </c>
      <c r="AG16" s="50">
        <v>6</v>
      </c>
      <c r="AH16" s="50">
        <v>6</v>
      </c>
      <c r="AI16" s="18">
        <v>0</v>
      </c>
      <c r="AJ16" s="20"/>
    </row>
    <row r="17" spans="1:36" ht="50.1" customHeight="1" x14ac:dyDescent="0.25">
      <c r="A17" s="37">
        <v>2025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17">
        <v>9</v>
      </c>
      <c r="AH17" s="50">
        <v>8</v>
      </c>
      <c r="AI17" s="18">
        <v>0</v>
      </c>
      <c r="AJ17" s="20"/>
    </row>
    <row r="18" spans="1:36" ht="50.1" customHeight="1" x14ac:dyDescent="0.25">
      <c r="A18" s="38" t="s">
        <v>8</v>
      </c>
      <c r="B18" s="21">
        <f t="shared" ref="B18:F18" si="0">SUM(B6:B11)</f>
        <v>3</v>
      </c>
      <c r="C18" s="21">
        <f t="shared" si="0"/>
        <v>2</v>
      </c>
      <c r="D18" s="21">
        <f t="shared" si="0"/>
        <v>8</v>
      </c>
      <c r="E18" s="21">
        <f t="shared" si="0"/>
        <v>6</v>
      </c>
      <c r="F18" s="21">
        <f t="shared" si="0"/>
        <v>18</v>
      </c>
      <c r="G18" s="21">
        <f>SUM(G6:G11)</f>
        <v>16</v>
      </c>
      <c r="H18" s="18">
        <f>SUM(H6:H8)</f>
        <v>0</v>
      </c>
      <c r="I18" s="21">
        <f>SUM(I6:I11)</f>
        <v>21</v>
      </c>
      <c r="J18" s="21">
        <f>SUM(J6:J11)</f>
        <v>20</v>
      </c>
      <c r="K18" s="18">
        <f>SUM(K6:K9)</f>
        <v>4</v>
      </c>
      <c r="L18" s="21">
        <f>SUM(L7:L11)</f>
        <v>23</v>
      </c>
      <c r="M18" s="21">
        <f>SUM(M8:M10)</f>
        <v>21</v>
      </c>
      <c r="N18" s="18">
        <f>SUM(N7:N10)</f>
        <v>8</v>
      </c>
      <c r="O18" s="21">
        <f>SUM(O9:O11)</f>
        <v>16</v>
      </c>
      <c r="P18" s="21">
        <f>SUM(P8:P11)</f>
        <v>15</v>
      </c>
      <c r="Q18" s="18">
        <f>SUM(Q9:Q11)</f>
        <v>3</v>
      </c>
      <c r="R18" s="21">
        <f>SUM(R10:R12)</f>
        <v>29</v>
      </c>
      <c r="S18" s="21">
        <f>SUM(S10:S12)</f>
        <v>25</v>
      </c>
      <c r="T18" s="18">
        <f>SUM(T10:T12)</f>
        <v>8</v>
      </c>
      <c r="U18" s="21">
        <f>SUM(U11:U13)</f>
        <v>24</v>
      </c>
      <c r="V18" s="21">
        <f>SUM(V11:V13)</f>
        <v>21</v>
      </c>
      <c r="W18" s="18">
        <f t="shared" ref="W18:AB18" si="1">SUM(W11:W15)</f>
        <v>3</v>
      </c>
      <c r="X18" s="21">
        <f t="shared" si="1"/>
        <v>27</v>
      </c>
      <c r="Y18" s="21">
        <f t="shared" si="1"/>
        <v>26</v>
      </c>
      <c r="Z18" s="18">
        <f t="shared" si="1"/>
        <v>7</v>
      </c>
      <c r="AA18" s="21">
        <f t="shared" si="1"/>
        <v>22</v>
      </c>
      <c r="AB18" s="21">
        <f t="shared" si="1"/>
        <v>20</v>
      </c>
      <c r="AC18" s="18">
        <f>SUM(AC12:AC16)</f>
        <v>7</v>
      </c>
      <c r="AD18" s="21">
        <f>SUM(AD13:AD16)</f>
        <v>19</v>
      </c>
      <c r="AE18" s="21">
        <f>SUM(AE13:AE16)</f>
        <v>15</v>
      </c>
      <c r="AF18" s="18">
        <f>SUM(AF13:AF16)</f>
        <v>6</v>
      </c>
      <c r="AG18" s="21">
        <f>SUM(AG14:AG17)</f>
        <v>18</v>
      </c>
      <c r="AH18" s="21">
        <f>SUM(AH14:AH17)</f>
        <v>16</v>
      </c>
      <c r="AI18" s="18">
        <f>SUM(AI14:AI17)</f>
        <v>0</v>
      </c>
      <c r="AJ18" s="18">
        <f>SUM(AJ6:AJ16)</f>
        <v>46</v>
      </c>
    </row>
    <row r="19" spans="1:36" ht="24.95" customHeight="1" x14ac:dyDescent="0.25"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6" ht="21" x14ac:dyDescent="0.35">
      <c r="A20" s="13" t="s">
        <v>16</v>
      </c>
    </row>
    <row r="21" spans="1:36" x14ac:dyDescent="0.25">
      <c r="A21" s="7"/>
      <c r="B21" t="s">
        <v>28</v>
      </c>
    </row>
    <row r="22" spans="1:36" x14ac:dyDescent="0.25">
      <c r="A22" s="3"/>
      <c r="B22" s="34" t="s">
        <v>18</v>
      </c>
    </row>
    <row r="23" spans="1:36" x14ac:dyDescent="0.25">
      <c r="A23" s="2"/>
      <c r="B23" s="34" t="s">
        <v>17</v>
      </c>
    </row>
  </sheetData>
  <mergeCells count="4">
    <mergeCell ref="A1:AJ1"/>
    <mergeCell ref="A4:A5"/>
    <mergeCell ref="AJ4:AJ5"/>
    <mergeCell ref="B4:AI4"/>
  </mergeCells>
  <pageMargins left="0.45" right="0.45" top="0.75" bottom="0.75" header="0.3" footer="0.3"/>
  <pageSetup paperSize="9" scale="43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>
      <selection activeCell="B3" sqref="B3:I3"/>
    </sheetView>
  </sheetViews>
  <sheetFormatPr defaultRowHeight="15" x14ac:dyDescent="0.25"/>
  <cols>
    <col min="1" max="1" width="25.28515625" customWidth="1"/>
  </cols>
  <sheetData>
    <row r="1" spans="1:10" ht="18.75" x14ac:dyDescent="0.25">
      <c r="A1" s="60" t="s">
        <v>33</v>
      </c>
      <c r="B1" s="60"/>
      <c r="C1" s="60"/>
      <c r="D1" s="60"/>
      <c r="E1" s="60"/>
      <c r="F1" s="60"/>
      <c r="G1" s="60"/>
      <c r="H1" s="60"/>
      <c r="I1" s="60"/>
      <c r="J1" s="60"/>
    </row>
    <row r="3" spans="1:10" s="1" customFormat="1" ht="20.100000000000001" customHeight="1" x14ac:dyDescent="0.25">
      <c r="A3" s="59" t="s">
        <v>0</v>
      </c>
      <c r="B3" s="61" t="s">
        <v>22</v>
      </c>
      <c r="C3" s="62"/>
      <c r="D3" s="62"/>
      <c r="E3" s="62"/>
      <c r="F3" s="62"/>
      <c r="G3" s="62"/>
      <c r="H3" s="62"/>
      <c r="I3" s="63"/>
      <c r="J3" s="59" t="s">
        <v>23</v>
      </c>
    </row>
    <row r="4" spans="1:10" s="1" customFormat="1" ht="20.100000000000001" customHeight="1" x14ac:dyDescent="0.25">
      <c r="A4" s="59"/>
      <c r="B4" s="10" t="s">
        <v>6</v>
      </c>
      <c r="C4" s="10" t="s">
        <v>2</v>
      </c>
      <c r="D4" s="10" t="s">
        <v>20</v>
      </c>
      <c r="E4" s="10" t="s">
        <v>27</v>
      </c>
      <c r="F4" s="10" t="s">
        <v>35</v>
      </c>
      <c r="G4" s="10" t="s">
        <v>37</v>
      </c>
      <c r="H4" s="10" t="s">
        <v>49</v>
      </c>
      <c r="I4" s="44" t="s">
        <v>52</v>
      </c>
      <c r="J4" s="59"/>
    </row>
    <row r="5" spans="1:10" s="1" customFormat="1" ht="24.95" customHeight="1" x14ac:dyDescent="0.25">
      <c r="A5" s="9" t="s">
        <v>30</v>
      </c>
      <c r="B5" s="8">
        <v>7</v>
      </c>
      <c r="C5" s="8">
        <v>12</v>
      </c>
      <c r="D5" s="8">
        <v>13</v>
      </c>
      <c r="E5" s="8">
        <v>20</v>
      </c>
      <c r="F5" s="8">
        <v>10</v>
      </c>
      <c r="G5" s="8">
        <v>14</v>
      </c>
      <c r="H5" s="8">
        <v>12</v>
      </c>
      <c r="I5" s="8">
        <v>9</v>
      </c>
      <c r="J5" s="26">
        <f>SUM(B5:I5)</f>
        <v>97</v>
      </c>
    </row>
    <row r="6" spans="1:10" s="1" customFormat="1" ht="24.95" customHeight="1" x14ac:dyDescent="0.25">
      <c r="A6" s="9" t="s">
        <v>31</v>
      </c>
      <c r="B6" s="8">
        <v>35</v>
      </c>
      <c r="C6" s="8">
        <v>12</v>
      </c>
      <c r="D6" s="8">
        <v>10</v>
      </c>
      <c r="E6" s="8">
        <v>11</v>
      </c>
      <c r="F6" s="8">
        <v>14</v>
      </c>
      <c r="G6" s="8">
        <v>7</v>
      </c>
      <c r="H6" s="8">
        <v>13</v>
      </c>
      <c r="I6" s="8">
        <v>9</v>
      </c>
      <c r="J6" s="26">
        <f>SUM(B6:I6)</f>
        <v>111</v>
      </c>
    </row>
    <row r="7" spans="1:10" s="1" customFormat="1" ht="24.95" customHeight="1" x14ac:dyDescent="0.25">
      <c r="A7" s="9" t="s">
        <v>32</v>
      </c>
      <c r="B7" s="8">
        <v>4</v>
      </c>
      <c r="C7" s="8">
        <v>8</v>
      </c>
      <c r="D7" s="8">
        <v>3</v>
      </c>
      <c r="E7" s="8">
        <v>8</v>
      </c>
      <c r="F7" s="8">
        <v>3</v>
      </c>
      <c r="G7" s="8">
        <v>7</v>
      </c>
      <c r="H7" s="8">
        <v>7</v>
      </c>
      <c r="I7" s="8">
        <v>6</v>
      </c>
      <c r="J7" s="26">
        <f>SUM(B7:I7)</f>
        <v>46</v>
      </c>
    </row>
    <row r="8" spans="1:10" ht="24.95" customHeight="1" x14ac:dyDescent="0.25">
      <c r="B8" s="4">
        <f t="shared" ref="B8:J8" si="0">SUM(B5:B7)</f>
        <v>46</v>
      </c>
      <c r="C8" s="4">
        <f t="shared" si="0"/>
        <v>32</v>
      </c>
      <c r="D8" s="4">
        <f t="shared" si="0"/>
        <v>26</v>
      </c>
      <c r="E8" s="4">
        <f t="shared" si="0"/>
        <v>39</v>
      </c>
      <c r="F8" s="4">
        <f t="shared" si="0"/>
        <v>27</v>
      </c>
      <c r="G8" s="4">
        <f t="shared" si="0"/>
        <v>28</v>
      </c>
      <c r="H8" s="4">
        <f t="shared" si="0"/>
        <v>32</v>
      </c>
      <c r="I8" s="4">
        <f>SUM(I5:I7)</f>
        <v>24</v>
      </c>
      <c r="J8" s="4">
        <f t="shared" si="0"/>
        <v>254</v>
      </c>
    </row>
  </sheetData>
  <mergeCells count="4">
    <mergeCell ref="A3:A4"/>
    <mergeCell ref="J3:J4"/>
    <mergeCell ref="A1:J1"/>
    <mergeCell ref="B3:I3"/>
  </mergeCells>
  <pageMargins left="0.7" right="0.7" top="0.75" bottom="0.75" header="0.3" footer="0.3"/>
  <pageSetup paperSize="9" scale="8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A5B8-8B00-44F5-9EAB-747F93893D0C}">
  <dimension ref="A1:H35"/>
  <sheetViews>
    <sheetView zoomScaleNormal="100" workbookViewId="0">
      <selection activeCell="J36" sqref="J36"/>
    </sheetView>
  </sheetViews>
  <sheetFormatPr defaultRowHeight="15" x14ac:dyDescent="0.25"/>
  <cols>
    <col min="1" max="1" width="15.28515625" customWidth="1"/>
    <col min="2" max="2" width="16.5703125" customWidth="1"/>
    <col min="3" max="3" width="10.28515625" customWidth="1"/>
  </cols>
  <sheetData>
    <row r="1" spans="1:2" x14ac:dyDescent="0.25">
      <c r="A1" s="29" t="s">
        <v>43</v>
      </c>
    </row>
    <row r="3" spans="1:2" x14ac:dyDescent="0.25">
      <c r="A3" s="8" t="s">
        <v>40</v>
      </c>
      <c r="B3" s="8" t="s">
        <v>48</v>
      </c>
    </row>
    <row r="4" spans="1:2" x14ac:dyDescent="0.25">
      <c r="A4" s="8">
        <v>2014</v>
      </c>
      <c r="B4" s="8">
        <f>TM!B6</f>
        <v>5</v>
      </c>
    </row>
    <row r="5" spans="1:2" x14ac:dyDescent="0.25">
      <c r="A5" s="8">
        <v>2015</v>
      </c>
      <c r="B5" s="8">
        <f>TM!D7</f>
        <v>14</v>
      </c>
    </row>
    <row r="6" spans="1:2" x14ac:dyDescent="0.25">
      <c r="A6" s="8">
        <v>2016</v>
      </c>
      <c r="B6" s="8">
        <f>TM!F8</f>
        <v>25</v>
      </c>
    </row>
    <row r="7" spans="1:2" x14ac:dyDescent="0.25">
      <c r="A7" s="8">
        <v>2017</v>
      </c>
      <c r="B7" s="8">
        <f>TM!I9</f>
        <v>18</v>
      </c>
    </row>
    <row r="8" spans="1:2" x14ac:dyDescent="0.25">
      <c r="A8" s="8">
        <v>2018</v>
      </c>
      <c r="B8" s="8">
        <f>TM!L10</f>
        <v>26</v>
      </c>
    </row>
    <row r="9" spans="1:2" x14ac:dyDescent="0.25">
      <c r="A9" s="8">
        <v>2019</v>
      </c>
      <c r="B9" s="8">
        <f>TM!O11</f>
        <v>15</v>
      </c>
    </row>
    <row r="10" spans="1:2" x14ac:dyDescent="0.25">
      <c r="A10" s="8">
        <v>2020</v>
      </c>
      <c r="B10" s="8">
        <f>TM!R12</f>
        <v>19</v>
      </c>
    </row>
    <row r="11" spans="1:2" x14ac:dyDescent="0.25">
      <c r="A11" s="8">
        <v>2021</v>
      </c>
      <c r="B11" s="8">
        <f>TM!U13</f>
        <v>23</v>
      </c>
    </row>
    <row r="12" spans="1:2" x14ac:dyDescent="0.25">
      <c r="A12" s="8">
        <v>2022</v>
      </c>
      <c r="B12" s="8">
        <f>TM!X14</f>
        <v>16</v>
      </c>
    </row>
    <row r="13" spans="1:2" x14ac:dyDescent="0.25">
      <c r="A13" s="8">
        <v>2023</v>
      </c>
      <c r="B13" s="8">
        <f>TM!AA15</f>
        <v>31</v>
      </c>
    </row>
    <row r="14" spans="1:2" x14ac:dyDescent="0.25">
      <c r="A14" s="8">
        <v>2024</v>
      </c>
      <c r="B14" s="8">
        <v>12</v>
      </c>
    </row>
    <row r="33" spans="1:8" x14ac:dyDescent="0.25">
      <c r="A33" s="59" t="s">
        <v>45</v>
      </c>
      <c r="B33" s="59" t="s">
        <v>22</v>
      </c>
      <c r="C33" s="59"/>
      <c r="D33" s="59"/>
      <c r="E33" s="59"/>
      <c r="F33" s="59"/>
      <c r="G33" s="59"/>
      <c r="H33" s="59"/>
    </row>
    <row r="34" spans="1:8" x14ac:dyDescent="0.25">
      <c r="A34" s="59"/>
      <c r="B34" s="10" t="s">
        <v>6</v>
      </c>
      <c r="C34" s="10" t="s">
        <v>2</v>
      </c>
      <c r="D34" s="10" t="s">
        <v>20</v>
      </c>
      <c r="E34" s="10" t="s">
        <v>27</v>
      </c>
      <c r="F34" s="10" t="s">
        <v>35</v>
      </c>
      <c r="G34" s="10" t="s">
        <v>37</v>
      </c>
      <c r="H34" s="10" t="s">
        <v>49</v>
      </c>
    </row>
    <row r="35" spans="1:8" x14ac:dyDescent="0.25">
      <c r="A35" s="9" t="s">
        <v>39</v>
      </c>
      <c r="B35" s="8">
        <v>7</v>
      </c>
      <c r="C35" s="8">
        <v>12</v>
      </c>
      <c r="D35" s="8">
        <v>13</v>
      </c>
      <c r="E35" s="8">
        <v>20</v>
      </c>
      <c r="F35" s="8">
        <v>10</v>
      </c>
      <c r="G35" s="8">
        <v>14</v>
      </c>
      <c r="H35" s="8">
        <v>12</v>
      </c>
    </row>
  </sheetData>
  <mergeCells count="2">
    <mergeCell ref="A33:A34"/>
    <mergeCell ref="B33:H3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D1E7-1D43-462C-B1C1-AF730A585E5B}">
  <dimension ref="A1:H35"/>
  <sheetViews>
    <sheetView topLeftCell="A16" zoomScaleNormal="100" workbookViewId="0">
      <selection activeCell="M13" sqref="M13"/>
    </sheetView>
  </sheetViews>
  <sheetFormatPr defaultRowHeight="15" x14ac:dyDescent="0.25"/>
  <cols>
    <col min="1" max="1" width="15.28515625" customWidth="1"/>
    <col min="2" max="2" width="20" customWidth="1"/>
    <col min="3" max="3" width="10.28515625" customWidth="1"/>
  </cols>
  <sheetData>
    <row r="1" spans="1:2" x14ac:dyDescent="0.25">
      <c r="A1" s="29" t="s">
        <v>42</v>
      </c>
    </row>
    <row r="3" spans="1:2" x14ac:dyDescent="0.25">
      <c r="A3" s="8" t="s">
        <v>40</v>
      </c>
      <c r="B3" s="8" t="s">
        <v>48</v>
      </c>
    </row>
    <row r="4" spans="1:2" x14ac:dyDescent="0.25">
      <c r="A4" s="8">
        <v>2014</v>
      </c>
      <c r="B4" s="8">
        <f>TL!B6</f>
        <v>10</v>
      </c>
    </row>
    <row r="5" spans="1:2" x14ac:dyDescent="0.25">
      <c r="A5" s="8">
        <v>2015</v>
      </c>
      <c r="B5" s="8">
        <f>TL!D7</f>
        <v>42</v>
      </c>
    </row>
    <row r="6" spans="1:2" x14ac:dyDescent="0.25">
      <c r="A6" s="8">
        <v>2016</v>
      </c>
      <c r="B6" s="8">
        <f>TL!F8</f>
        <v>44</v>
      </c>
    </row>
    <row r="7" spans="1:2" x14ac:dyDescent="0.25">
      <c r="A7" s="8">
        <v>2017</v>
      </c>
      <c r="B7" s="8">
        <f>TL!I9</f>
        <v>11</v>
      </c>
    </row>
    <row r="8" spans="1:2" x14ac:dyDescent="0.25">
      <c r="A8" s="8">
        <v>2018</v>
      </c>
      <c r="B8" s="8">
        <f>TL!L10</f>
        <v>18</v>
      </c>
    </row>
    <row r="9" spans="1:2" x14ac:dyDescent="0.25">
      <c r="A9" s="8">
        <v>2019</v>
      </c>
      <c r="B9" s="8">
        <f>TL!O11</f>
        <v>19</v>
      </c>
    </row>
    <row r="10" spans="1:2" x14ac:dyDescent="0.25">
      <c r="A10" s="8">
        <v>2020</v>
      </c>
      <c r="B10" s="8">
        <f>TL!R12</f>
        <v>18</v>
      </c>
    </row>
    <row r="11" spans="1:2" x14ac:dyDescent="0.25">
      <c r="A11" s="8">
        <v>2021</v>
      </c>
      <c r="B11" s="8">
        <f>TL!U13</f>
        <v>12</v>
      </c>
    </row>
    <row r="12" spans="1:2" x14ac:dyDescent="0.25">
      <c r="A12" s="8">
        <v>2022</v>
      </c>
      <c r="B12" s="8">
        <f>TL!X14</f>
        <v>12</v>
      </c>
    </row>
    <row r="13" spans="1:2" x14ac:dyDescent="0.25">
      <c r="A13" s="8">
        <v>2023</v>
      </c>
      <c r="B13" s="8">
        <f>TL!AA15</f>
        <v>19</v>
      </c>
    </row>
    <row r="14" spans="1:2" x14ac:dyDescent="0.25">
      <c r="A14" s="8">
        <v>2024</v>
      </c>
      <c r="B14" s="8">
        <v>23</v>
      </c>
    </row>
    <row r="33" spans="1:8" x14ac:dyDescent="0.25">
      <c r="A33" s="59" t="s">
        <v>46</v>
      </c>
      <c r="B33" s="59" t="s">
        <v>22</v>
      </c>
      <c r="C33" s="59"/>
      <c r="D33" s="59"/>
      <c r="E33" s="59"/>
      <c r="F33" s="59"/>
      <c r="G33" s="59"/>
      <c r="H33" s="59"/>
    </row>
    <row r="34" spans="1:8" x14ac:dyDescent="0.25">
      <c r="A34" s="59"/>
      <c r="B34" s="10" t="s">
        <v>6</v>
      </c>
      <c r="C34" s="10" t="s">
        <v>2</v>
      </c>
      <c r="D34" s="10" t="s">
        <v>20</v>
      </c>
      <c r="E34" s="10" t="s">
        <v>27</v>
      </c>
      <c r="F34" s="10" t="s">
        <v>35</v>
      </c>
      <c r="G34" s="10" t="s">
        <v>37</v>
      </c>
      <c r="H34" s="10" t="s">
        <v>49</v>
      </c>
    </row>
    <row r="35" spans="1:8" x14ac:dyDescent="0.25">
      <c r="A35" s="9" t="s">
        <v>39</v>
      </c>
      <c r="B35" s="8">
        <v>35</v>
      </c>
      <c r="C35" s="8">
        <v>12</v>
      </c>
      <c r="D35" s="8">
        <v>10</v>
      </c>
      <c r="E35" s="8">
        <v>11</v>
      </c>
      <c r="F35" s="8">
        <v>14</v>
      </c>
      <c r="G35" s="8">
        <v>7</v>
      </c>
      <c r="H35" s="8">
        <v>13</v>
      </c>
    </row>
  </sheetData>
  <mergeCells count="2">
    <mergeCell ref="A33:A34"/>
    <mergeCell ref="B33:H33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2772-8118-454C-ADF1-ECC1FA80F11C}">
  <dimension ref="A1:H35"/>
  <sheetViews>
    <sheetView topLeftCell="A26" zoomScaleNormal="100" workbookViewId="0">
      <selection activeCell="J44" sqref="J44"/>
    </sheetView>
  </sheetViews>
  <sheetFormatPr defaultRowHeight="15" x14ac:dyDescent="0.25"/>
  <cols>
    <col min="1" max="1" width="15.28515625" customWidth="1"/>
    <col min="2" max="2" width="20.7109375" customWidth="1"/>
    <col min="3" max="3" width="10.28515625" customWidth="1"/>
  </cols>
  <sheetData>
    <row r="1" spans="1:2" x14ac:dyDescent="0.25">
      <c r="A1" s="29" t="s">
        <v>41</v>
      </c>
    </row>
    <row r="3" spans="1:2" x14ac:dyDescent="0.25">
      <c r="A3" s="8" t="s">
        <v>40</v>
      </c>
      <c r="B3" s="8" t="s">
        <v>48</v>
      </c>
    </row>
    <row r="4" spans="1:2" x14ac:dyDescent="0.25">
      <c r="A4" s="8">
        <v>2014</v>
      </c>
      <c r="B4" s="8">
        <f>AGRO!B6</f>
        <v>3</v>
      </c>
    </row>
    <row r="5" spans="1:2" x14ac:dyDescent="0.25">
      <c r="A5" s="8">
        <v>2015</v>
      </c>
      <c r="B5" s="8">
        <f>AGRO!D7</f>
        <v>6</v>
      </c>
    </row>
    <row r="6" spans="1:2" x14ac:dyDescent="0.25">
      <c r="A6" s="8">
        <v>2016</v>
      </c>
      <c r="B6" s="8">
        <f>AGRO!F8</f>
        <v>14</v>
      </c>
    </row>
    <row r="7" spans="1:2" x14ac:dyDescent="0.25">
      <c r="A7" s="8">
        <v>2017</v>
      </c>
      <c r="B7" s="8">
        <f>AGRO!I9</f>
        <v>7</v>
      </c>
    </row>
    <row r="8" spans="1:2" x14ac:dyDescent="0.25">
      <c r="A8" s="8">
        <v>2018</v>
      </c>
      <c r="B8" s="8">
        <f>AGRO!L10</f>
        <v>8</v>
      </c>
    </row>
    <row r="9" spans="1:2" x14ac:dyDescent="0.25">
      <c r="A9" s="8">
        <v>2019</v>
      </c>
      <c r="B9" s="8">
        <f>AGRO!O11</f>
        <v>4</v>
      </c>
    </row>
    <row r="10" spans="1:2" x14ac:dyDescent="0.25">
      <c r="A10" s="8">
        <v>2020</v>
      </c>
      <c r="B10" s="8">
        <f>AGRO!R12</f>
        <v>18</v>
      </c>
    </row>
    <row r="11" spans="1:2" x14ac:dyDescent="0.25">
      <c r="A11" s="8">
        <v>2021</v>
      </c>
      <c r="B11" s="8">
        <f>AGRO!U13</f>
        <v>11</v>
      </c>
    </row>
    <row r="12" spans="1:2" x14ac:dyDescent="0.25">
      <c r="A12" s="8">
        <v>2022</v>
      </c>
      <c r="B12" s="8">
        <f>AGRO!X14</f>
        <v>9</v>
      </c>
    </row>
    <row r="13" spans="1:2" x14ac:dyDescent="0.25">
      <c r="A13" s="8">
        <v>2023</v>
      </c>
      <c r="B13" s="8">
        <f>AGRO!AA15</f>
        <v>3</v>
      </c>
    </row>
    <row r="14" spans="1:2" x14ac:dyDescent="0.25">
      <c r="A14" s="8">
        <v>2024</v>
      </c>
      <c r="B14" s="8">
        <v>8</v>
      </c>
    </row>
    <row r="33" spans="1:8" x14ac:dyDescent="0.25">
      <c r="A33" s="64" t="s">
        <v>47</v>
      </c>
      <c r="B33" s="59" t="s">
        <v>22</v>
      </c>
      <c r="C33" s="59"/>
      <c r="D33" s="59"/>
      <c r="E33" s="59"/>
      <c r="F33" s="59"/>
      <c r="G33" s="59"/>
      <c r="H33" s="59"/>
    </row>
    <row r="34" spans="1:8" x14ac:dyDescent="0.25">
      <c r="A34" s="64"/>
      <c r="B34" s="10" t="s">
        <v>6</v>
      </c>
      <c r="C34" s="10" t="s">
        <v>2</v>
      </c>
      <c r="D34" s="10" t="s">
        <v>20</v>
      </c>
      <c r="E34" s="10" t="s">
        <v>27</v>
      </c>
      <c r="F34" s="10" t="s">
        <v>35</v>
      </c>
      <c r="G34" s="10" t="s">
        <v>37</v>
      </c>
      <c r="H34" s="10" t="s">
        <v>49</v>
      </c>
    </row>
    <row r="35" spans="1:8" x14ac:dyDescent="0.25">
      <c r="A35" s="9" t="s">
        <v>39</v>
      </c>
      <c r="B35" s="8">
        <v>4</v>
      </c>
      <c r="C35" s="8">
        <v>8</v>
      </c>
      <c r="D35" s="8">
        <v>3</v>
      </c>
      <c r="E35" s="8">
        <v>8</v>
      </c>
      <c r="F35" s="8">
        <v>3</v>
      </c>
      <c r="G35" s="8">
        <v>7</v>
      </c>
      <c r="H35" s="8">
        <v>7</v>
      </c>
    </row>
  </sheetData>
  <mergeCells count="2">
    <mergeCell ref="A33:A34"/>
    <mergeCell ref="B33:H33"/>
  </mergeCells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6DD91D6-15EC-405F-A95B-F90CAF735052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F3518131-4600-4A89-B5E6-FCDA049BEB5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3B641A99-0582-42D8-8AF5-7088BDC9A2D8}">
  <ds:schemaRefs>
    <ds:schemaRef ds:uri="http://www.w3.org/2001/XMLSchema"/>
    <ds:schemaRef ds:uri="http://microsoft.data.visualization.Client.Excel.CustomMapList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PERKEMBANGAN AKADEMIK TOTAL</vt:lpstr>
      <vt:lpstr>TM</vt:lpstr>
      <vt:lpstr>TL</vt:lpstr>
      <vt:lpstr>AGRO</vt:lpstr>
      <vt:lpstr>TOTAL LULUSAN</vt:lpstr>
      <vt:lpstr>Grafik TM</vt:lpstr>
      <vt:lpstr>Grafik TL</vt:lpstr>
      <vt:lpstr>Grafik Agro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2025-12-05T08:04:34Z</cp:lastPrinted>
  <dcterms:created xsi:type="dcterms:W3CDTF">2019-11-14T03:17:42Z</dcterms:created>
  <dcterms:modified xsi:type="dcterms:W3CDTF">2026-02-24T05:36:49Z</dcterms:modified>
</cp:coreProperties>
</file>